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artdaelim.sharepoint.com/sites/Civil-Plant/Shared Documents/Design Module and Committee/CDC-312 - 콘크리트 앵커/"/>
    </mc:Choice>
  </mc:AlternateContent>
  <xr:revisionPtr revIDLastSave="4" documentId="13_ncr:1_{FD3216E7-C8C2-43A4-9B43-021A169732FA}" xr6:coauthVersionLast="47" xr6:coauthVersionMax="47" xr10:uidLastSave="{C2DEB249-65AE-4690-B07A-FB9CA38279AE}"/>
  <bookViews>
    <workbookView xWindow="28680" yWindow="-120" windowWidth="29040" windowHeight="15840" xr2:uid="{661F099E-0CDF-4F12-9AF1-550242826EB9}"/>
  </bookViews>
  <sheets>
    <sheet name="Rectangular_Single" sheetId="2" r:id="rId1"/>
    <sheet name="Rectangular_Group" sheetId="3" r:id="rId2"/>
  </sheets>
  <definedNames>
    <definedName name="_xlnm.Print_Area" localSheetId="1">Rectangular_Group!$B$1:$AJ$288</definedName>
    <definedName name="_xlnm.Print_Area" localSheetId="0">Rectangular_Single!$B$1:$AJ$290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3" i="3" l="1"/>
  <c r="F164" i="3"/>
  <c r="K145" i="3"/>
  <c r="K144" i="3"/>
  <c r="O119" i="3"/>
  <c r="J67" i="3"/>
  <c r="AE69" i="3" s="1"/>
  <c r="V84" i="3"/>
  <c r="V82" i="3"/>
  <c r="V80" i="3"/>
  <c r="V78" i="3"/>
  <c r="J84" i="3"/>
  <c r="J82" i="3"/>
  <c r="J80" i="3"/>
  <c r="J78" i="3"/>
  <c r="K284" i="3"/>
  <c r="K282" i="3"/>
  <c r="K276" i="3"/>
  <c r="K272" i="3"/>
  <c r="K227" i="3"/>
  <c r="K215" i="3"/>
  <c r="K212" i="3"/>
  <c r="K210" i="3"/>
  <c r="K208" i="3"/>
  <c r="K207" i="3" s="1"/>
  <c r="K204" i="3"/>
  <c r="K202" i="3"/>
  <c r="K200" i="3"/>
  <c r="K199" i="3"/>
  <c r="K189" i="3"/>
  <c r="T166" i="3"/>
  <c r="Y166" i="3" s="1"/>
  <c r="O166" i="3"/>
  <c r="K160" i="3"/>
  <c r="AL160" i="3" s="1"/>
  <c r="K159" i="3"/>
  <c r="K158" i="3"/>
  <c r="T155" i="3"/>
  <c r="X152" i="3"/>
  <c r="J152" i="3"/>
  <c r="Q152" i="3" s="1"/>
  <c r="J140" i="3"/>
  <c r="T140" i="3"/>
  <c r="K124" i="3"/>
  <c r="K118" i="3" s="1"/>
  <c r="AA121" i="3"/>
  <c r="T107" i="3"/>
  <c r="K101" i="3"/>
  <c r="T97" i="3"/>
  <c r="AE12" i="3"/>
  <c r="K190" i="3" s="1"/>
  <c r="W286" i="2"/>
  <c r="S286" i="2"/>
  <c r="K286" i="2"/>
  <c r="K284" i="2"/>
  <c r="K283" i="2"/>
  <c r="K278" i="2"/>
  <c r="K279" i="2"/>
  <c r="K274" i="2"/>
  <c r="K273" i="2"/>
  <c r="K229" i="2"/>
  <c r="T226" i="2"/>
  <c r="K217" i="2"/>
  <c r="K214" i="2"/>
  <c r="K212" i="2"/>
  <c r="K216" i="2" s="1"/>
  <c r="K210" i="2"/>
  <c r="K209" i="2" s="1"/>
  <c r="K206" i="2"/>
  <c r="K204" i="2"/>
  <c r="K202" i="2"/>
  <c r="K201" i="2"/>
  <c r="T198" i="2"/>
  <c r="K191" i="2"/>
  <c r="T187" i="2"/>
  <c r="T168" i="2"/>
  <c r="Y168" i="2" s="1"/>
  <c r="K162" i="2"/>
  <c r="AL162" i="2" s="1"/>
  <c r="K161" i="2"/>
  <c r="K160" i="2"/>
  <c r="T157" i="2"/>
  <c r="X154" i="2"/>
  <c r="J154" i="2"/>
  <c r="K147" i="2"/>
  <c r="J142" i="2" s="1"/>
  <c r="K146" i="2"/>
  <c r="T142" i="2"/>
  <c r="K126" i="2"/>
  <c r="K124" i="2" s="1"/>
  <c r="AA123" i="2"/>
  <c r="T112" i="2"/>
  <c r="K106" i="2"/>
  <c r="T102" i="2"/>
  <c r="I70" i="2"/>
  <c r="AE66" i="2"/>
  <c r="T70" i="2" s="1"/>
  <c r="AE12" i="2"/>
  <c r="K192" i="2" s="1"/>
  <c r="J187" i="2" s="1"/>
  <c r="K115" i="3" l="1"/>
  <c r="P84" i="3"/>
  <c r="AB84" i="3" s="1"/>
  <c r="P80" i="3"/>
  <c r="AB80" i="3" s="1"/>
  <c r="K122" i="3"/>
  <c r="K214" i="3"/>
  <c r="J196" i="3" s="1"/>
  <c r="AE63" i="3"/>
  <c r="T71" i="3"/>
  <c r="P78" i="3"/>
  <c r="AB78" i="3" s="1"/>
  <c r="K102" i="3"/>
  <c r="J97" i="3" s="1"/>
  <c r="Y97" i="3" s="1"/>
  <c r="K111" i="3"/>
  <c r="P82" i="3"/>
  <c r="AB82" i="3" s="1"/>
  <c r="J185" i="3"/>
  <c r="F151" i="3"/>
  <c r="J154" i="3"/>
  <c r="J155" i="3"/>
  <c r="Y140" i="3"/>
  <c r="O140" i="3"/>
  <c r="Q154" i="2"/>
  <c r="R71" i="2"/>
  <c r="K107" i="2"/>
  <c r="J102" i="2" s="1"/>
  <c r="J198" i="2"/>
  <c r="Y198" i="2" s="1"/>
  <c r="N70" i="2"/>
  <c r="F153" i="2"/>
  <c r="O168" i="2"/>
  <c r="Y142" i="2"/>
  <c r="O142" i="2"/>
  <c r="Y187" i="2"/>
  <c r="O187" i="2"/>
  <c r="Y102" i="2"/>
  <c r="O102" i="2"/>
  <c r="J157" i="2"/>
  <c r="J156" i="2"/>
  <c r="K116" i="2"/>
  <c r="K118" i="2"/>
  <c r="K120" i="2"/>
  <c r="J107" i="3" l="1"/>
  <c r="O97" i="3"/>
  <c r="K281" i="3"/>
  <c r="K277" i="3"/>
  <c r="T185" i="3"/>
  <c r="O185" i="3" s="1"/>
  <c r="T224" i="3"/>
  <c r="K271" i="3"/>
  <c r="I71" i="3"/>
  <c r="S284" i="3"/>
  <c r="T196" i="3"/>
  <c r="O196" i="3" s="1"/>
  <c r="AB86" i="3"/>
  <c r="O155" i="3"/>
  <c r="Y155" i="3"/>
  <c r="X267" i="3"/>
  <c r="O198" i="2"/>
  <c r="J112" i="2"/>
  <c r="X269" i="2" s="1"/>
  <c r="O286" i="2" s="1"/>
  <c r="K287" i="2" s="1"/>
  <c r="Y157" i="2"/>
  <c r="O157" i="2"/>
  <c r="AC287" i="2" l="1"/>
  <c r="Q287" i="2"/>
  <c r="Y185" i="3"/>
  <c r="Y196" i="3"/>
  <c r="Y107" i="3"/>
  <c r="K228" i="3"/>
  <c r="J224" i="3" s="1"/>
  <c r="O107" i="3"/>
  <c r="R72" i="3"/>
  <c r="N71" i="3"/>
  <c r="W276" i="3"/>
  <c r="Q276" i="3" s="1"/>
  <c r="J274" i="3" s="1"/>
  <c r="O284" i="3"/>
  <c r="W282" i="3"/>
  <c r="Q282" i="3" s="1"/>
  <c r="W272" i="3"/>
  <c r="W284" i="2"/>
  <c r="W274" i="2"/>
  <c r="W278" i="2"/>
  <c r="Q278" i="2" s="1"/>
  <c r="J276" i="2" s="1"/>
  <c r="Q274" i="2"/>
  <c r="AC274" i="2"/>
  <c r="K230" i="2"/>
  <c r="J226" i="2" s="1"/>
  <c r="X268" i="2" s="1"/>
  <c r="Y112" i="2"/>
  <c r="O112" i="2"/>
  <c r="Y224" i="3" l="1"/>
  <c r="X266" i="3"/>
  <c r="O224" i="3"/>
  <c r="AC272" i="3"/>
  <c r="Q272" i="3"/>
  <c r="W283" i="2"/>
  <c r="Q283" i="2" s="1"/>
  <c r="Q284" i="2"/>
  <c r="W273" i="2"/>
  <c r="Q273" i="2" s="1"/>
  <c r="J271" i="2" s="1"/>
  <c r="W279" i="2"/>
  <c r="Y226" i="2"/>
  <c r="O226" i="2"/>
  <c r="W281" i="3" l="1"/>
  <c r="Q281" i="3" s="1"/>
  <c r="J279" i="3" s="1"/>
  <c r="W271" i="3"/>
  <c r="Q271" i="3" s="1"/>
  <c r="J269" i="3" s="1"/>
  <c r="W277" i="3"/>
  <c r="W284" i="3"/>
  <c r="K285" i="3" s="1"/>
  <c r="J281" i="2"/>
  <c r="AC279" i="2"/>
  <c r="Q279" i="2"/>
  <c r="AC285" i="3" l="1"/>
  <c r="Q285" i="3"/>
  <c r="Q277" i="3"/>
  <c r="AC27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정건(DL E&amp;C)</author>
  </authors>
  <commentList>
    <comment ref="K121" authorId="0" shapeId="0" xr:uid="{DB69B45E-0060-4CFA-AAB5-B812370DB59F}">
      <text>
        <r>
          <rPr>
            <b/>
            <sz val="9"/>
            <color indexed="81"/>
            <rFont val="돋움"/>
            <family val="3"/>
            <charset val="129"/>
          </rPr>
          <t>정건</t>
        </r>
        <r>
          <rPr>
            <b/>
            <sz val="9"/>
            <color indexed="81"/>
            <rFont val="Tahoma"/>
            <family val="2"/>
          </rPr>
          <t>(DL E&amp;C):</t>
        </r>
        <r>
          <rPr>
            <sz val="9"/>
            <color indexed="81"/>
            <rFont val="Tahoma"/>
            <family val="2"/>
          </rPr>
          <t xml:space="preserve">
01. cast-in anchor, ψc,N = 1.25
02. post-in anchor, ψc,N = 1.40
03. concrete cracking at service load, ψc,N = 1.00</t>
        </r>
      </text>
    </comment>
    <comment ref="W123" authorId="0" shapeId="0" xr:uid="{2279B6C8-84BF-4418-B344-F0AA18955933}">
      <text>
        <r>
          <rPr>
            <b/>
            <sz val="9"/>
            <color indexed="81"/>
            <rFont val="돋움"/>
            <family val="3"/>
            <charset val="129"/>
          </rPr>
          <t>정건</t>
        </r>
        <r>
          <rPr>
            <b/>
            <sz val="9"/>
            <color indexed="81"/>
            <rFont val="Tahoma"/>
            <family val="2"/>
          </rPr>
          <t>(DL E&amp;C):</t>
        </r>
        <r>
          <rPr>
            <sz val="9"/>
            <color indexed="81"/>
            <rFont val="Tahoma"/>
            <family val="2"/>
          </rPr>
          <t xml:space="preserve">
01. cast-in anchor, kc = 10
02. post-in anchor, kc = 7</t>
        </r>
      </text>
    </comment>
    <comment ref="K145" authorId="0" shapeId="0" xr:uid="{37C5032A-2990-4CE8-9795-08AE9D49567C}">
      <text>
        <r>
          <rPr>
            <b/>
            <sz val="9"/>
            <color indexed="81"/>
            <rFont val="돋움"/>
            <family val="3"/>
            <charset val="129"/>
          </rPr>
          <t>정건</t>
        </r>
        <r>
          <rPr>
            <b/>
            <sz val="9"/>
            <color indexed="81"/>
            <rFont val="Tahoma"/>
            <family val="2"/>
          </rPr>
          <t>(DL E&amp;C):</t>
        </r>
        <r>
          <rPr>
            <sz val="9"/>
            <color indexed="81"/>
            <rFont val="Tahoma"/>
            <family val="2"/>
          </rPr>
          <t xml:space="preserve">
01. </t>
        </r>
        <r>
          <rPr>
            <sz val="9"/>
            <color indexed="81"/>
            <rFont val="돋움"/>
            <family val="3"/>
            <charset val="129"/>
          </rPr>
          <t>비균열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콘크리트</t>
        </r>
        <r>
          <rPr>
            <sz val="9"/>
            <color indexed="81"/>
            <rFont val="Tahoma"/>
            <family val="2"/>
          </rPr>
          <t xml:space="preserve">, ψc,P = 1.4
02. </t>
        </r>
        <r>
          <rPr>
            <sz val="9"/>
            <color indexed="81"/>
            <rFont val="돋움"/>
            <family val="3"/>
            <charset val="129"/>
          </rPr>
          <t>균열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콘크리트</t>
        </r>
        <r>
          <rPr>
            <sz val="9"/>
            <color indexed="81"/>
            <rFont val="Tahoma"/>
            <family val="2"/>
          </rPr>
          <t>, ψc,P = 1.0</t>
        </r>
      </text>
    </comment>
    <comment ref="K207" authorId="0" shapeId="0" xr:uid="{53060060-13B7-4D4C-9600-2B4123F9E1D1}">
      <text>
        <r>
          <rPr>
            <b/>
            <sz val="9"/>
            <color indexed="81"/>
            <rFont val="돋움"/>
            <family val="3"/>
            <charset val="129"/>
          </rPr>
          <t>정건</t>
        </r>
        <r>
          <rPr>
            <b/>
            <sz val="9"/>
            <color indexed="81"/>
            <rFont val="Tahoma"/>
            <family val="2"/>
          </rPr>
          <t>(DL E&amp;C):</t>
        </r>
        <r>
          <rPr>
            <sz val="9"/>
            <color indexed="81"/>
            <rFont val="Tahoma"/>
            <family val="2"/>
          </rPr>
          <t xml:space="preserve">
01. </t>
        </r>
        <r>
          <rPr>
            <sz val="9"/>
            <color indexed="81"/>
            <rFont val="돋움"/>
            <family val="3"/>
            <charset val="129"/>
          </rPr>
          <t>비균열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콘크리트</t>
        </r>
        <r>
          <rPr>
            <sz val="9"/>
            <color indexed="81"/>
            <rFont val="Tahoma"/>
            <family val="2"/>
          </rPr>
          <t xml:space="preserve">, ψc,P = 1.4
02. </t>
        </r>
        <r>
          <rPr>
            <sz val="9"/>
            <color indexed="81"/>
            <rFont val="돋움"/>
            <family val="3"/>
            <charset val="129"/>
          </rPr>
          <t>균열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콘크리트</t>
        </r>
        <r>
          <rPr>
            <sz val="9"/>
            <color indexed="81"/>
            <rFont val="Tahoma"/>
            <family val="2"/>
          </rPr>
          <t>, ψc,P = 1.0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정건(DL E&amp;C)</author>
  </authors>
  <commentList>
    <comment ref="K111" authorId="0" shapeId="0" xr:uid="{8BE5403D-BD0F-4A60-8497-80AB8EA7CF6E}">
      <text>
        <r>
          <rPr>
            <b/>
            <sz val="9"/>
            <color indexed="81"/>
            <rFont val="돋움"/>
            <family val="3"/>
            <charset val="129"/>
          </rPr>
          <t>정건</t>
        </r>
        <r>
          <rPr>
            <b/>
            <sz val="9"/>
            <color indexed="81"/>
            <rFont val="Tahoma"/>
            <family val="2"/>
          </rPr>
          <t>(DL E&amp;C):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면적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오른쪽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K119" authorId="0" shapeId="0" xr:uid="{142EA9EB-D5C3-412C-91ED-C6C23E85015B}">
      <text>
        <r>
          <rPr>
            <b/>
            <sz val="9"/>
            <color indexed="81"/>
            <rFont val="돋움"/>
            <family val="3"/>
            <charset val="129"/>
          </rPr>
          <t>정건</t>
        </r>
        <r>
          <rPr>
            <b/>
            <sz val="9"/>
            <color indexed="81"/>
            <rFont val="Tahoma"/>
            <family val="2"/>
          </rPr>
          <t>(DL E&amp;C):</t>
        </r>
        <r>
          <rPr>
            <sz val="9"/>
            <color indexed="81"/>
            <rFont val="Tahoma"/>
            <family val="2"/>
          </rPr>
          <t xml:space="preserve">
01. cast-in anchor, ψc,N = 1.25
02. post-in anchor, ψc,N = 1.40
03. concrete cracking at service load, ψc,N = 1.00</t>
        </r>
      </text>
    </comment>
    <comment ref="W121" authorId="0" shapeId="0" xr:uid="{2109A454-61C3-44B5-A19C-2C27C5AE399A}">
      <text>
        <r>
          <rPr>
            <b/>
            <sz val="9"/>
            <color indexed="81"/>
            <rFont val="돋움"/>
            <family val="3"/>
            <charset val="129"/>
          </rPr>
          <t>정건</t>
        </r>
        <r>
          <rPr>
            <b/>
            <sz val="9"/>
            <color indexed="81"/>
            <rFont val="Tahoma"/>
            <family val="2"/>
          </rPr>
          <t>(DL E&amp;C):</t>
        </r>
        <r>
          <rPr>
            <sz val="9"/>
            <color indexed="81"/>
            <rFont val="Tahoma"/>
            <family val="2"/>
          </rPr>
          <t xml:space="preserve">
01. cast-in anchor, kc = 10
02. post-in anchor, kc = 7</t>
        </r>
      </text>
    </comment>
    <comment ref="K143" authorId="0" shapeId="0" xr:uid="{65A96487-9ED0-4683-8803-25353A470513}">
      <text>
        <r>
          <rPr>
            <b/>
            <sz val="9"/>
            <color indexed="81"/>
            <rFont val="돋움"/>
            <family val="3"/>
            <charset val="129"/>
          </rPr>
          <t>정건</t>
        </r>
        <r>
          <rPr>
            <b/>
            <sz val="9"/>
            <color indexed="81"/>
            <rFont val="Tahoma"/>
            <family val="2"/>
          </rPr>
          <t>(DL E&amp;C):</t>
        </r>
        <r>
          <rPr>
            <sz val="9"/>
            <color indexed="81"/>
            <rFont val="Tahoma"/>
            <family val="2"/>
          </rPr>
          <t xml:space="preserve">
01. </t>
        </r>
        <r>
          <rPr>
            <sz val="9"/>
            <color indexed="81"/>
            <rFont val="돋움"/>
            <family val="3"/>
            <charset val="129"/>
          </rPr>
          <t>비균열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콘크리트</t>
        </r>
        <r>
          <rPr>
            <sz val="9"/>
            <color indexed="81"/>
            <rFont val="Tahoma"/>
            <family val="2"/>
          </rPr>
          <t xml:space="preserve">, ψc,P = 1.4
02. </t>
        </r>
        <r>
          <rPr>
            <sz val="9"/>
            <color indexed="81"/>
            <rFont val="돋움"/>
            <family val="3"/>
            <charset val="129"/>
          </rPr>
          <t>균열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콘크리트</t>
        </r>
        <r>
          <rPr>
            <sz val="9"/>
            <color indexed="81"/>
            <rFont val="Tahoma"/>
            <family val="2"/>
          </rPr>
          <t>, ψc,P = 1.0</t>
        </r>
      </text>
    </comment>
    <comment ref="K205" authorId="0" shapeId="0" xr:uid="{DF726EBF-0020-4509-9F5C-4D168AAB2981}">
      <text>
        <r>
          <rPr>
            <b/>
            <sz val="9"/>
            <color indexed="81"/>
            <rFont val="돋움"/>
            <family val="3"/>
            <charset val="129"/>
          </rPr>
          <t>정건</t>
        </r>
        <r>
          <rPr>
            <b/>
            <sz val="9"/>
            <color indexed="81"/>
            <rFont val="Tahoma"/>
            <family val="2"/>
          </rPr>
          <t>(DL E&amp;C):</t>
        </r>
        <r>
          <rPr>
            <sz val="9"/>
            <color indexed="81"/>
            <rFont val="Tahoma"/>
            <family val="2"/>
          </rPr>
          <t xml:space="preserve">
01. </t>
        </r>
        <r>
          <rPr>
            <sz val="9"/>
            <color indexed="81"/>
            <rFont val="돋움"/>
            <family val="3"/>
            <charset val="129"/>
          </rPr>
          <t>비균열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콘크리트</t>
        </r>
        <r>
          <rPr>
            <sz val="9"/>
            <color indexed="81"/>
            <rFont val="Tahoma"/>
            <family val="2"/>
          </rPr>
          <t xml:space="preserve">, ψc,P = 1.4
02. </t>
        </r>
        <r>
          <rPr>
            <sz val="9"/>
            <color indexed="81"/>
            <rFont val="돋움"/>
            <family val="3"/>
            <charset val="129"/>
          </rPr>
          <t>균열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콘크리트</t>
        </r>
        <r>
          <rPr>
            <sz val="9"/>
            <color indexed="81"/>
            <rFont val="Tahoma"/>
            <family val="2"/>
          </rPr>
          <t>, ψc,P = 1.0</t>
        </r>
      </text>
    </comment>
  </commentList>
</comments>
</file>

<file path=xl/sharedStrings.xml><?xml version="1.0" encoding="utf-8"?>
<sst xmlns="http://schemas.openxmlformats.org/spreadsheetml/2006/main" count="1018" uniqueCount="212">
  <si>
    <t>1. Given Data</t>
    <phoneticPr fontId="1" type="noConversion"/>
  </si>
  <si>
    <t>mm</t>
    <phoneticPr fontId="1" type="noConversion"/>
  </si>
  <si>
    <t>Ws</t>
    <phoneticPr fontId="1" type="noConversion"/>
  </si>
  <si>
    <t xml:space="preserve"> -</t>
    <phoneticPr fontId="1" type="noConversion"/>
  </si>
  <si>
    <t>Ped Length</t>
    <phoneticPr fontId="1" type="noConversion"/>
  </si>
  <si>
    <t>Ped Width</t>
    <phoneticPr fontId="1" type="noConversion"/>
  </si>
  <si>
    <t>Ped Thickness</t>
    <phoneticPr fontId="1" type="noConversion"/>
  </si>
  <si>
    <t>ha</t>
    <phoneticPr fontId="1" type="noConversion"/>
  </si>
  <si>
    <t>2. Calculation of Maximum Anchor Force</t>
    <phoneticPr fontId="1" type="noConversion"/>
  </si>
  <si>
    <t>Anchor Bolt Dia.</t>
    <phoneticPr fontId="1" type="noConversion"/>
  </si>
  <si>
    <t>=</t>
  </si>
  <si>
    <t>=</t>
    <phoneticPr fontId="1" type="noConversion"/>
  </si>
  <si>
    <t>Ls</t>
    <phoneticPr fontId="1" type="noConversion"/>
  </si>
  <si>
    <t>Dbolt</t>
    <phoneticPr fontId="1" type="noConversion"/>
  </si>
  <si>
    <t>Anchor Bolt Q'ty</t>
    <phoneticPr fontId="1" type="noConversion"/>
  </si>
  <si>
    <t>Nbolt</t>
    <phoneticPr fontId="1" type="noConversion"/>
  </si>
  <si>
    <t>EA</t>
    <phoneticPr fontId="1" type="noConversion"/>
  </si>
  <si>
    <t>Bolt Area</t>
    <phoneticPr fontId="1" type="noConversion"/>
  </si>
  <si>
    <t>mm2</t>
    <phoneticPr fontId="1" type="noConversion"/>
  </si>
  <si>
    <t>Ase</t>
    <phoneticPr fontId="1" type="noConversion"/>
  </si>
  <si>
    <t>Yield Strength of Anchor bolt</t>
    <phoneticPr fontId="1" type="noConversion"/>
  </si>
  <si>
    <t>Mpa</t>
    <phoneticPr fontId="1" type="noConversion"/>
  </si>
  <si>
    <t>fy</t>
    <phoneticPr fontId="1" type="noConversion"/>
  </si>
  <si>
    <t>Tensile Strength of Anchor bolt</t>
    <phoneticPr fontId="1" type="noConversion"/>
  </si>
  <si>
    <t>futa</t>
  </si>
  <si>
    <t>futa</t>
    <phoneticPr fontId="1" type="noConversion"/>
  </si>
  <si>
    <t>Anchor Bolt Type</t>
    <phoneticPr fontId="1" type="noConversion"/>
  </si>
  <si>
    <t>Type</t>
    <phoneticPr fontId="1" type="noConversion"/>
  </si>
  <si>
    <t>Bearing Area of the Head of Stud or Anchor Bolt</t>
  </si>
  <si>
    <t>Abrg</t>
    <phoneticPr fontId="1" type="noConversion"/>
  </si>
  <si>
    <t>임의값임</t>
    <phoneticPr fontId="1" type="noConversion"/>
  </si>
  <si>
    <t>Distance (Anchor Shaft to the Edge of Concrete)</t>
    <phoneticPr fontId="1" type="noConversion"/>
  </si>
  <si>
    <t>Distance (Perpendicular to c1)</t>
    <phoneticPr fontId="1" type="noConversion"/>
  </si>
  <si>
    <t>c1</t>
    <phoneticPr fontId="1" type="noConversion"/>
  </si>
  <si>
    <t>c2</t>
    <phoneticPr fontId="1" type="noConversion"/>
  </si>
  <si>
    <t>Center to Center Spacing of Anchor Bolts</t>
    <phoneticPr fontId="1" type="noConversion"/>
  </si>
  <si>
    <t xml:space="preserve">Embedment Depth of Anchor </t>
  </si>
  <si>
    <t>hef</t>
    <phoneticPr fontId="1" type="noConversion"/>
  </si>
  <si>
    <t>s0</t>
    <phoneticPr fontId="1" type="noConversion"/>
  </si>
  <si>
    <t>s1</t>
    <phoneticPr fontId="1" type="noConversion"/>
  </si>
  <si>
    <t>Calculation of Anchor Blot Force</t>
  </si>
  <si>
    <t>1)</t>
    <phoneticPr fontId="1" type="noConversion"/>
  </si>
  <si>
    <t>Nua</t>
  </si>
  <si>
    <t>Nua</t>
    <phoneticPr fontId="1" type="noConversion"/>
  </si>
  <si>
    <t>Maximum Tension Force</t>
  </si>
  <si>
    <t>kN</t>
    <phoneticPr fontId="1" type="noConversion"/>
  </si>
  <si>
    <t>Maximum Shear Force</t>
  </si>
  <si>
    <t>ФVr</t>
  </si>
  <si>
    <t>Vua</t>
    <phoneticPr fontId="1" type="noConversion"/>
  </si>
  <si>
    <t>Factored Frictional Resisting Force</t>
  </si>
  <si>
    <r>
      <rPr>
        <sz val="11"/>
        <color theme="1"/>
        <rFont val="Calibri"/>
        <family val="2"/>
        <charset val="204"/>
      </rPr>
      <t>Ф</t>
    </r>
    <r>
      <rPr>
        <sz val="11"/>
        <color theme="1"/>
        <rFont val="맑은 고딕"/>
        <family val="2"/>
        <charset val="129"/>
        <scheme val="minor"/>
      </rPr>
      <t>Vr</t>
    </r>
    <phoneticPr fontId="1" type="noConversion"/>
  </si>
  <si>
    <t>Ф</t>
  </si>
  <si>
    <t>Vr</t>
    <phoneticPr fontId="1" type="noConversion"/>
  </si>
  <si>
    <t>3. Design Requirements for Tensile Loading</t>
    <phoneticPr fontId="1" type="noConversion"/>
  </si>
  <si>
    <t>1) Steel strength of anchor in tension</t>
    <phoneticPr fontId="1" type="noConversion"/>
  </si>
  <si>
    <t>=</t>
    <phoneticPr fontId="8" type="noConversion"/>
  </si>
  <si>
    <t>Ф</t>
    <phoneticPr fontId="2" type="noConversion"/>
  </si>
  <si>
    <t>n</t>
    <phoneticPr fontId="2" type="noConversion"/>
  </si>
  <si>
    <t>=</t>
    <phoneticPr fontId="2" type="noConversion"/>
  </si>
  <si>
    <t>-</t>
  </si>
  <si>
    <t>ФNsa</t>
  </si>
  <si>
    <t>Ф x n x Ase,N x futa</t>
  </si>
  <si>
    <t>n</t>
  </si>
  <si>
    <t>Ase.N</t>
  </si>
  <si>
    <t>(Minimum 1.9fyt or fut)</t>
  </si>
  <si>
    <t>ea</t>
  </si>
  <si>
    <t>(Number of Anchors in the Group)</t>
  </si>
  <si>
    <t>MPa</t>
  </si>
  <si>
    <t>mm²</t>
  </si>
  <si>
    <t>Where,</t>
    <phoneticPr fontId="1" type="noConversion"/>
  </si>
  <si>
    <t>2) Concrete Breakout Strength of Anchor in Tension</t>
    <phoneticPr fontId="1" type="noConversion"/>
  </si>
  <si>
    <t>ФNcb</t>
  </si>
  <si>
    <t>Ф x (ANc/ANco) x ψed,N x ψc,N x ψcp,N x Nb</t>
  </si>
  <si>
    <t>Anc</t>
    <phoneticPr fontId="1" type="noConversion"/>
  </si>
  <si>
    <t>Anco</t>
    <phoneticPr fontId="1" type="noConversion"/>
  </si>
  <si>
    <r>
      <rPr>
        <sz val="11"/>
        <color theme="1"/>
        <rFont val="Calibri"/>
        <family val="2"/>
        <charset val="161"/>
      </rPr>
      <t>ψ</t>
    </r>
    <r>
      <rPr>
        <sz val="11"/>
        <color theme="1"/>
        <rFont val="맑은 고딕"/>
        <family val="2"/>
        <charset val="129"/>
        <scheme val="minor"/>
      </rPr>
      <t>ed,N</t>
    </r>
    <phoneticPr fontId="1" type="noConversion"/>
  </si>
  <si>
    <t>ψcp,N</t>
    <phoneticPr fontId="1" type="noConversion"/>
  </si>
  <si>
    <t>Nb</t>
    <phoneticPr fontId="1" type="noConversion"/>
  </si>
  <si>
    <r>
      <rPr>
        <sz val="11"/>
        <color theme="1"/>
        <rFont val="Calibri"/>
        <family val="2"/>
        <charset val="161"/>
      </rPr>
      <t>ψ</t>
    </r>
    <r>
      <rPr>
        <sz val="11"/>
        <color theme="1"/>
        <rFont val="Calibri"/>
        <family val="2"/>
      </rPr>
      <t>c</t>
    </r>
    <r>
      <rPr>
        <sz val="11"/>
        <color theme="1"/>
        <rFont val="맑은 고딕"/>
        <family val="2"/>
        <charset val="129"/>
        <scheme val="minor"/>
      </rPr>
      <t>,N</t>
    </r>
    <phoneticPr fontId="1" type="noConversion"/>
  </si>
  <si>
    <t>(ca1 + 1.5hef') x (2 x 1.5hef')</t>
    <phoneticPr fontId="1" type="noConversion"/>
  </si>
  <si>
    <t>9 x hef'^2</t>
    <phoneticPr fontId="1" type="noConversion"/>
  </si>
  <si>
    <t>hef'</t>
    <phoneticPr fontId="1" type="noConversion"/>
  </si>
  <si>
    <t>max(ca,max/1.5, hef)</t>
    <phoneticPr fontId="1" type="noConversion"/>
  </si>
  <si>
    <r>
      <t xml:space="preserve">if c1 &lt; 1.5hef, </t>
    </r>
    <r>
      <rPr>
        <sz val="11"/>
        <color theme="1"/>
        <rFont val="Calibri"/>
        <family val="2"/>
        <charset val="161"/>
      </rPr>
      <t>ψ</t>
    </r>
    <r>
      <rPr>
        <sz val="11"/>
        <color theme="1"/>
        <rFont val="맑은 고딕"/>
        <family val="2"/>
        <charset val="129"/>
        <scheme val="minor"/>
      </rPr>
      <t xml:space="preserve">ed,N = 0.70 + 0.30 x c1 / 1.5hef, else </t>
    </r>
    <r>
      <rPr>
        <sz val="11"/>
        <color theme="1"/>
        <rFont val="Calibri"/>
        <family val="2"/>
        <charset val="161"/>
      </rPr>
      <t>ψ</t>
    </r>
    <r>
      <rPr>
        <sz val="11"/>
        <color theme="1"/>
        <rFont val="맑은 고딕"/>
        <family val="2"/>
        <charset val="129"/>
        <scheme val="minor"/>
      </rPr>
      <t>ed,N = 1</t>
    </r>
    <phoneticPr fontId="1" type="noConversion"/>
  </si>
  <si>
    <t>비균열이라고 가정함</t>
    <phoneticPr fontId="1" type="noConversion"/>
  </si>
  <si>
    <r>
      <t>(k</t>
    </r>
    <r>
      <rPr>
        <vertAlign val="subscript"/>
        <sz val="11"/>
        <color theme="1"/>
        <rFont val="맑은 고딕"/>
        <family val="3"/>
        <charset val="129"/>
        <scheme val="major"/>
      </rPr>
      <t>c</t>
    </r>
    <phoneticPr fontId="8" type="noConversion"/>
  </si>
  <si>
    <t>Post-in Anchor</t>
    <phoneticPr fontId="1" type="noConversion"/>
  </si>
  <si>
    <t>Compressive Strength of Concrete</t>
  </si>
  <si>
    <t>fck</t>
    <phoneticPr fontId="1" type="noConversion"/>
  </si>
  <si>
    <t>kc  x √f'c x hef^1.5</t>
    <phoneticPr fontId="1" type="noConversion"/>
  </si>
  <si>
    <t>3) Pullout Strength of Anchor in Tension</t>
    <phoneticPr fontId="1" type="noConversion"/>
  </si>
  <si>
    <t>ФNpn</t>
  </si>
  <si>
    <t>Ф x ψc,P x Np</t>
  </si>
  <si>
    <r>
      <t>ψ</t>
    </r>
    <r>
      <rPr>
        <vertAlign val="subscript"/>
        <sz val="11"/>
        <rFont val="맑은 고딕"/>
        <family val="3"/>
        <charset val="129"/>
        <scheme val="major"/>
      </rPr>
      <t>c,P</t>
    </r>
    <r>
      <rPr>
        <sz val="9"/>
        <rFont val="Arial"/>
        <family val="2"/>
      </rPr>
      <t/>
    </r>
    <phoneticPr fontId="2" type="noConversion"/>
  </si>
  <si>
    <r>
      <t>N</t>
    </r>
    <r>
      <rPr>
        <vertAlign val="subscript"/>
        <sz val="11"/>
        <rFont val="맑은 고딕"/>
        <family val="3"/>
        <charset val="129"/>
        <scheme val="major"/>
      </rPr>
      <t>p</t>
    </r>
    <phoneticPr fontId="2" type="noConversion"/>
  </si>
  <si>
    <r>
      <t>e</t>
    </r>
    <r>
      <rPr>
        <vertAlign val="subscript"/>
        <sz val="11"/>
        <rFont val="맑은 고딕"/>
        <family val="3"/>
        <charset val="129"/>
        <scheme val="major"/>
      </rPr>
      <t>h</t>
    </r>
    <phoneticPr fontId="20" type="noConversion"/>
  </si>
  <si>
    <t>비균열 콘크리트</t>
    <phoneticPr fontId="1" type="noConversion"/>
  </si>
  <si>
    <t>갈고리 길이</t>
    <phoneticPr fontId="1" type="noConversion"/>
  </si>
  <si>
    <t>4) Concrete Side Face Blowout Strength of  Anchor in Tension</t>
    <phoneticPr fontId="1" type="noConversion"/>
  </si>
  <si>
    <t>mm</t>
    <phoneticPr fontId="2" type="noConversion"/>
  </si>
  <si>
    <r>
      <t>2.5 c</t>
    </r>
    <r>
      <rPr>
        <vertAlign val="subscript"/>
        <sz val="11"/>
        <rFont val="맑은 고딕"/>
        <family val="3"/>
        <charset val="129"/>
        <scheme val="major"/>
      </rPr>
      <t>a1</t>
    </r>
    <phoneticPr fontId="2" type="noConversion"/>
  </si>
  <si>
    <r>
      <t>h</t>
    </r>
    <r>
      <rPr>
        <vertAlign val="subscript"/>
        <sz val="11"/>
        <rFont val="맑은 고딕"/>
        <family val="3"/>
        <charset val="129"/>
        <scheme val="major"/>
      </rPr>
      <t>ef</t>
    </r>
    <phoneticPr fontId="2" type="noConversion"/>
  </si>
  <si>
    <t>ФNsb</t>
  </si>
  <si>
    <r>
      <t>A</t>
    </r>
    <r>
      <rPr>
        <vertAlign val="subscript"/>
        <sz val="11"/>
        <rFont val="맑은 고딕"/>
        <family val="3"/>
        <charset val="129"/>
        <scheme val="major"/>
      </rPr>
      <t>brg</t>
    </r>
    <phoneticPr fontId="2" type="noConversion"/>
  </si>
  <si>
    <r>
      <t>c</t>
    </r>
    <r>
      <rPr>
        <vertAlign val="subscript"/>
        <sz val="11"/>
        <rFont val="맑은 고딕"/>
        <family val="3"/>
        <charset val="129"/>
        <scheme val="major"/>
      </rPr>
      <t>2</t>
    </r>
    <r>
      <rPr>
        <sz val="11"/>
        <rFont val="맑은 고딕"/>
        <family val="3"/>
        <charset val="129"/>
        <scheme val="major"/>
      </rPr>
      <t>/c</t>
    </r>
    <r>
      <rPr>
        <vertAlign val="subscript"/>
        <sz val="11"/>
        <rFont val="맑은 고딕"/>
        <family val="3"/>
        <charset val="129"/>
        <scheme val="major"/>
      </rPr>
      <t>1</t>
    </r>
    <phoneticPr fontId="2" type="noConversion"/>
  </si>
  <si>
    <t>fck</t>
    <phoneticPr fontId="2" type="noConversion"/>
  </si>
  <si>
    <t>MPa</t>
    <phoneticPr fontId="1" type="noConversion"/>
  </si>
  <si>
    <t>5) Bond strength of Anchor in Tension</t>
    <phoneticPr fontId="1" type="noConversion"/>
  </si>
  <si>
    <t>ФNa</t>
  </si>
  <si>
    <t>Ф x (AN/ANao) x ψcd,Na x ψcp,Na x Nb</t>
  </si>
  <si>
    <r>
      <t>A</t>
    </r>
    <r>
      <rPr>
        <vertAlign val="subscript"/>
        <sz val="11"/>
        <rFont val="맑은 고딕"/>
        <family val="3"/>
        <charset val="129"/>
        <scheme val="major"/>
      </rPr>
      <t>Na</t>
    </r>
    <phoneticPr fontId="2" type="noConversion"/>
  </si>
  <si>
    <r>
      <t>A</t>
    </r>
    <r>
      <rPr>
        <vertAlign val="subscript"/>
        <sz val="11"/>
        <rFont val="맑은 고딕"/>
        <family val="3"/>
        <charset val="129"/>
        <scheme val="major"/>
      </rPr>
      <t>Nao</t>
    </r>
    <phoneticPr fontId="2" type="noConversion"/>
  </si>
  <si>
    <r>
      <t>ψ</t>
    </r>
    <r>
      <rPr>
        <vertAlign val="subscript"/>
        <sz val="11"/>
        <rFont val="맑은 고딕"/>
        <family val="3"/>
        <charset val="129"/>
        <scheme val="major"/>
      </rPr>
      <t>cd,Na</t>
    </r>
    <phoneticPr fontId="2" type="noConversion"/>
  </si>
  <si>
    <r>
      <t>ψ</t>
    </r>
    <r>
      <rPr>
        <vertAlign val="subscript"/>
        <sz val="11"/>
        <rFont val="맑은 고딕"/>
        <family val="3"/>
        <charset val="129"/>
        <scheme val="major"/>
      </rPr>
      <t>cp,Na</t>
    </r>
    <phoneticPr fontId="2" type="noConversion"/>
  </si>
  <si>
    <r>
      <t>N</t>
    </r>
    <r>
      <rPr>
        <vertAlign val="subscript"/>
        <sz val="11"/>
        <rFont val="맑은 고딕"/>
        <family val="3"/>
        <charset val="129"/>
        <scheme val="major"/>
      </rPr>
      <t>ba</t>
    </r>
    <phoneticPr fontId="2" type="noConversion"/>
  </si>
  <si>
    <r>
      <t>c</t>
    </r>
    <r>
      <rPr>
        <vertAlign val="subscript"/>
        <sz val="11"/>
        <rFont val="맑은 고딕"/>
        <family val="3"/>
        <charset val="129"/>
        <scheme val="major"/>
      </rPr>
      <t>Na</t>
    </r>
    <phoneticPr fontId="2" type="noConversion"/>
  </si>
  <si>
    <r>
      <t>t</t>
    </r>
    <r>
      <rPr>
        <vertAlign val="subscript"/>
        <sz val="11"/>
        <rFont val="맑은 고딕"/>
        <family val="3"/>
        <charset val="129"/>
        <scheme val="major"/>
      </rPr>
      <t>cr</t>
    </r>
    <phoneticPr fontId="2" type="noConversion"/>
  </si>
  <si>
    <r>
      <t>t</t>
    </r>
    <r>
      <rPr>
        <vertAlign val="subscript"/>
        <sz val="11"/>
        <rFont val="맑은 고딕"/>
        <family val="3"/>
        <charset val="129"/>
        <scheme val="major"/>
      </rPr>
      <t>uncr</t>
    </r>
    <phoneticPr fontId="2" type="noConversion"/>
  </si>
  <si>
    <t>4. Design Requirements for Shear Loading</t>
    <phoneticPr fontId="1" type="noConversion"/>
  </si>
  <si>
    <t>1) Steel Strength of Anchor in Shear</t>
    <phoneticPr fontId="1" type="noConversion"/>
  </si>
  <si>
    <t>ФVsa</t>
  </si>
  <si>
    <t>Ф x n</t>
  </si>
  <si>
    <t>x Ase,V x futa</t>
  </si>
  <si>
    <r>
      <t>f</t>
    </r>
    <r>
      <rPr>
        <vertAlign val="subscript"/>
        <sz val="11"/>
        <rFont val="맑은 고딕"/>
        <family val="3"/>
        <charset val="129"/>
        <scheme val="major"/>
      </rPr>
      <t>uta</t>
    </r>
    <phoneticPr fontId="2" type="noConversion"/>
  </si>
  <si>
    <r>
      <t>A</t>
    </r>
    <r>
      <rPr>
        <vertAlign val="subscript"/>
        <sz val="11"/>
        <rFont val="맑은 고딕"/>
        <family val="3"/>
        <charset val="129"/>
        <scheme val="major"/>
      </rPr>
      <t>se.V</t>
    </r>
    <phoneticPr fontId="2" type="noConversion"/>
  </si>
  <si>
    <t>2) Concrete Breakout Strength of Anchor in Shear</t>
    <phoneticPr fontId="1" type="noConversion"/>
  </si>
  <si>
    <t>ФVcb</t>
  </si>
  <si>
    <t>Ф x (AVc/AVco) x ψed,V x ψc,V x ψh,V x Vb</t>
  </si>
  <si>
    <r>
      <t>A</t>
    </r>
    <r>
      <rPr>
        <vertAlign val="subscript"/>
        <sz val="11"/>
        <rFont val="맑은 고딕"/>
        <family val="3"/>
        <charset val="129"/>
        <scheme val="major"/>
      </rPr>
      <t>Vc</t>
    </r>
    <phoneticPr fontId="2" type="noConversion"/>
  </si>
  <si>
    <r>
      <t>A</t>
    </r>
    <r>
      <rPr>
        <vertAlign val="subscript"/>
        <sz val="11"/>
        <rFont val="맑은 고딕"/>
        <family val="3"/>
        <charset val="129"/>
        <scheme val="major"/>
      </rPr>
      <t>Vco</t>
    </r>
    <phoneticPr fontId="2" type="noConversion"/>
  </si>
  <si>
    <r>
      <t>ψ</t>
    </r>
    <r>
      <rPr>
        <vertAlign val="subscript"/>
        <sz val="11"/>
        <rFont val="맑은 고딕"/>
        <family val="3"/>
        <charset val="129"/>
        <scheme val="major"/>
      </rPr>
      <t>ed,V</t>
    </r>
    <phoneticPr fontId="2" type="noConversion"/>
  </si>
  <si>
    <r>
      <t>ψ</t>
    </r>
    <r>
      <rPr>
        <vertAlign val="subscript"/>
        <sz val="11"/>
        <rFont val="맑은 고딕"/>
        <family val="3"/>
        <charset val="129"/>
        <scheme val="major"/>
      </rPr>
      <t>c,V</t>
    </r>
    <phoneticPr fontId="2" type="noConversion"/>
  </si>
  <si>
    <r>
      <t>ψ</t>
    </r>
    <r>
      <rPr>
        <vertAlign val="subscript"/>
        <sz val="11"/>
        <rFont val="맑은 고딕"/>
        <family val="3"/>
        <charset val="129"/>
        <scheme val="major"/>
      </rPr>
      <t>h,V</t>
    </r>
    <phoneticPr fontId="2" type="noConversion"/>
  </si>
  <si>
    <r>
      <t>h</t>
    </r>
    <r>
      <rPr>
        <vertAlign val="subscript"/>
        <sz val="11"/>
        <rFont val="맑은 고딕"/>
        <family val="3"/>
        <charset val="129"/>
        <scheme val="major"/>
      </rPr>
      <t>a</t>
    </r>
    <phoneticPr fontId="2" type="noConversion"/>
  </si>
  <si>
    <r>
      <t>V</t>
    </r>
    <r>
      <rPr>
        <vertAlign val="subscript"/>
        <sz val="11"/>
        <rFont val="맑은 고딕"/>
        <family val="3"/>
        <charset val="129"/>
        <scheme val="major"/>
      </rPr>
      <t>b1</t>
    </r>
    <phoneticPr fontId="2" type="noConversion"/>
  </si>
  <si>
    <r>
      <t>V</t>
    </r>
    <r>
      <rPr>
        <vertAlign val="subscript"/>
        <sz val="11"/>
        <rFont val="맑은 고딕"/>
        <family val="3"/>
        <charset val="129"/>
        <scheme val="major"/>
      </rPr>
      <t>b2</t>
    </r>
    <phoneticPr fontId="2" type="noConversion"/>
  </si>
  <si>
    <r>
      <t>V</t>
    </r>
    <r>
      <rPr>
        <vertAlign val="subscript"/>
        <sz val="11"/>
        <rFont val="맑은 고딕"/>
        <family val="3"/>
        <charset val="129"/>
        <scheme val="major"/>
      </rPr>
      <t>b</t>
    </r>
    <phoneticPr fontId="2" type="noConversion"/>
  </si>
  <si>
    <t>4.5 x (c1)^2</t>
    <phoneticPr fontId="1" type="noConversion"/>
  </si>
  <si>
    <r>
      <t xml:space="preserve">if c2 &lt; 1.5c1, </t>
    </r>
    <r>
      <rPr>
        <sz val="11"/>
        <color theme="1"/>
        <rFont val="Calibri"/>
        <family val="2"/>
        <charset val="161"/>
      </rPr>
      <t>ψ</t>
    </r>
    <r>
      <rPr>
        <sz val="11"/>
        <color theme="1"/>
        <rFont val="맑은 고딕"/>
        <family val="2"/>
        <charset val="129"/>
        <scheme val="minor"/>
      </rPr>
      <t xml:space="preserve">ed,V = 0.70 + 0.30 x c2 / 1.5c1, else </t>
    </r>
    <r>
      <rPr>
        <sz val="11"/>
        <color theme="1"/>
        <rFont val="Calibri"/>
        <family val="2"/>
        <charset val="161"/>
      </rPr>
      <t>ψ</t>
    </r>
    <r>
      <rPr>
        <sz val="11"/>
        <color theme="1"/>
        <rFont val="맑은 고딕"/>
        <family val="2"/>
        <charset val="129"/>
        <scheme val="minor"/>
      </rPr>
      <t>ed,N = 1</t>
    </r>
    <phoneticPr fontId="1" type="noConversion"/>
  </si>
  <si>
    <r>
      <t xml:space="preserve">if ha &lt; 1.5c1, </t>
    </r>
    <r>
      <rPr>
        <sz val="11"/>
        <color theme="1"/>
        <rFont val="Calibri"/>
        <family val="2"/>
        <charset val="161"/>
      </rPr>
      <t>ψ</t>
    </r>
    <r>
      <rPr>
        <sz val="11"/>
        <color theme="1"/>
        <rFont val="맑은 고딕"/>
        <family val="2"/>
        <charset val="129"/>
        <scheme val="minor"/>
      </rPr>
      <t xml:space="preserve">h,V=√1.5c1 / ha, else </t>
    </r>
    <r>
      <rPr>
        <sz val="11"/>
        <color theme="1"/>
        <rFont val="Calibri"/>
        <family val="2"/>
        <charset val="161"/>
      </rPr>
      <t>ψ</t>
    </r>
    <r>
      <rPr>
        <sz val="11"/>
        <color theme="1"/>
        <rFont val="맑은 고딕"/>
        <family val="2"/>
        <charset val="129"/>
        <scheme val="minor"/>
      </rPr>
      <t>h,V=1</t>
    </r>
    <phoneticPr fontId="1" type="noConversion"/>
  </si>
  <si>
    <t xml:space="preserve">0.6 x (l / DBolt)0.2 x √(DBolt) x √(fc') x c11.5 </t>
    <phoneticPr fontId="1" type="noConversion"/>
  </si>
  <si>
    <t xml:space="preserve">3.7 x √f'c x c11.5 </t>
    <phoneticPr fontId="1" type="noConversion"/>
  </si>
  <si>
    <t>Min(Vb1, Vb2)</t>
    <phoneticPr fontId="1" type="noConversion"/>
  </si>
  <si>
    <t>ФVcp</t>
  </si>
  <si>
    <t>Ф x kcp x Ncp</t>
  </si>
  <si>
    <r>
      <t>k</t>
    </r>
    <r>
      <rPr>
        <vertAlign val="subscript"/>
        <sz val="11"/>
        <rFont val="맑은 고딕"/>
        <family val="3"/>
        <charset val="129"/>
        <scheme val="major"/>
      </rPr>
      <t>cp</t>
    </r>
    <phoneticPr fontId="2" type="noConversion"/>
  </si>
  <si>
    <r>
      <t>N</t>
    </r>
    <r>
      <rPr>
        <vertAlign val="subscript"/>
        <sz val="11"/>
        <rFont val="맑은 고딕"/>
        <family val="3"/>
        <charset val="129"/>
        <scheme val="major"/>
      </rPr>
      <t>cp</t>
    </r>
    <phoneticPr fontId="2" type="noConversion"/>
  </si>
  <si>
    <t>3) Concrete Pryout Strength of an Anchor Shear</t>
    <phoneticPr fontId="1" type="noConversion"/>
  </si>
  <si>
    <t>5. Interaction of Tensile and Shear Forces</t>
  </si>
  <si>
    <t>ФNn</t>
    <phoneticPr fontId="2" type="noConversion"/>
  </si>
  <si>
    <t>Nua</t>
    <phoneticPr fontId="2" type="noConversion"/>
  </si>
  <si>
    <t>Vua</t>
    <phoneticPr fontId="2" type="noConversion"/>
  </si>
  <si>
    <t>ФVn</t>
    <phoneticPr fontId="2" type="noConversion"/>
  </si>
  <si>
    <t>Case1</t>
    <phoneticPr fontId="1" type="noConversion"/>
  </si>
  <si>
    <t>if Vua</t>
  </si>
  <si>
    <t>≤</t>
  </si>
  <si>
    <t>0.2ФVn</t>
  </si>
  <si>
    <t>, Then full strength in tension shall be permitted :</t>
  </si>
  <si>
    <t>ФNn</t>
  </si>
  <si>
    <t>≥</t>
  </si>
  <si>
    <r>
      <t>min(ФV</t>
    </r>
    <r>
      <rPr>
        <vertAlign val="subscript"/>
        <sz val="11"/>
        <rFont val="맑은 고딕"/>
        <family val="3"/>
        <charset val="129"/>
        <scheme val="major"/>
      </rPr>
      <t>sa</t>
    </r>
    <r>
      <rPr>
        <sz val="11"/>
        <rFont val="맑은 고딕"/>
        <family val="3"/>
        <charset val="129"/>
        <scheme val="major"/>
      </rPr>
      <t>, ФV</t>
    </r>
    <r>
      <rPr>
        <vertAlign val="subscript"/>
        <sz val="11"/>
        <rFont val="맑은 고딕"/>
        <family val="3"/>
        <charset val="129"/>
        <scheme val="major"/>
      </rPr>
      <t>cb</t>
    </r>
    <r>
      <rPr>
        <sz val="11"/>
        <rFont val="맑은 고딕"/>
        <family val="3"/>
        <charset val="129"/>
        <scheme val="major"/>
      </rPr>
      <t>, ФV</t>
    </r>
    <r>
      <rPr>
        <vertAlign val="subscript"/>
        <sz val="11"/>
        <rFont val="맑은 고딕"/>
        <family val="3"/>
        <charset val="129"/>
        <scheme val="major"/>
      </rPr>
      <t>cp</t>
    </r>
    <r>
      <rPr>
        <sz val="11"/>
        <rFont val="맑은 고딕"/>
        <family val="3"/>
        <charset val="129"/>
        <scheme val="major"/>
      </rPr>
      <t>)</t>
    </r>
    <phoneticPr fontId="2" type="noConversion"/>
  </si>
  <si>
    <r>
      <t>min(ФN</t>
    </r>
    <r>
      <rPr>
        <vertAlign val="subscript"/>
        <sz val="11"/>
        <color theme="1"/>
        <rFont val="맑은 고딕"/>
        <family val="3"/>
        <charset val="129"/>
        <scheme val="major"/>
      </rPr>
      <t>sa</t>
    </r>
    <r>
      <rPr>
        <sz val="11"/>
        <color theme="1"/>
        <rFont val="맑은 고딕"/>
        <family val="3"/>
        <charset val="129"/>
        <scheme val="major"/>
      </rPr>
      <t>, ФN</t>
    </r>
    <r>
      <rPr>
        <vertAlign val="subscript"/>
        <sz val="11"/>
        <color theme="1"/>
        <rFont val="맑은 고딕"/>
        <family val="3"/>
        <charset val="129"/>
        <scheme val="major"/>
      </rPr>
      <t>cb</t>
    </r>
    <r>
      <rPr>
        <sz val="11"/>
        <color theme="1"/>
        <rFont val="맑은 고딕"/>
        <family val="3"/>
        <charset val="129"/>
        <scheme val="major"/>
      </rPr>
      <t>, ФN</t>
    </r>
    <r>
      <rPr>
        <vertAlign val="subscript"/>
        <sz val="11"/>
        <color theme="1"/>
        <rFont val="맑은 고딕"/>
        <family val="3"/>
        <charset val="129"/>
        <scheme val="major"/>
      </rPr>
      <t>pn</t>
    </r>
    <r>
      <rPr>
        <sz val="11"/>
        <color theme="1"/>
        <rFont val="맑은 고딕"/>
        <family val="3"/>
        <charset val="129"/>
        <scheme val="major"/>
      </rPr>
      <t>, ФN</t>
    </r>
    <r>
      <rPr>
        <vertAlign val="subscript"/>
        <sz val="11"/>
        <color theme="1"/>
        <rFont val="맑은 고딕"/>
        <family val="3"/>
        <charset val="129"/>
        <scheme val="major"/>
      </rPr>
      <t>sb</t>
    </r>
    <r>
      <rPr>
        <sz val="11"/>
        <color theme="1"/>
        <rFont val="맑은 고딕"/>
        <family val="3"/>
        <charset val="129"/>
        <scheme val="major"/>
      </rPr>
      <t>)</t>
    </r>
    <phoneticPr fontId="2" type="noConversion"/>
  </si>
  <si>
    <t>그라우트 50 포함하면 1200</t>
    <phoneticPr fontId="1" type="noConversion"/>
  </si>
  <si>
    <t>임의값</t>
    <phoneticPr fontId="1" type="noConversion"/>
  </si>
  <si>
    <r>
      <t>0.2</t>
    </r>
    <r>
      <rPr>
        <sz val="11"/>
        <color theme="1"/>
        <rFont val="Calibri"/>
        <family val="2"/>
        <charset val="204"/>
      </rPr>
      <t>Ф</t>
    </r>
    <r>
      <rPr>
        <sz val="11"/>
        <color theme="1"/>
        <rFont val="맑은 고딕"/>
        <family val="2"/>
        <charset val="129"/>
        <scheme val="minor"/>
      </rPr>
      <t>Vn</t>
    </r>
    <phoneticPr fontId="1" type="noConversion"/>
  </si>
  <si>
    <r>
      <t>0.2</t>
    </r>
    <r>
      <rPr>
        <sz val="11"/>
        <rFont val="Calibri"/>
        <family val="3"/>
        <charset val="204"/>
      </rPr>
      <t>Ф</t>
    </r>
    <r>
      <rPr>
        <sz val="11"/>
        <rFont val="맑은 고딕"/>
        <family val="3"/>
        <charset val="129"/>
        <scheme val="major"/>
      </rPr>
      <t>Vn</t>
    </r>
    <phoneticPr fontId="2" type="noConversion"/>
  </si>
  <si>
    <t>Case2</t>
    <phoneticPr fontId="1" type="noConversion"/>
  </si>
  <si>
    <t>if Nua</t>
    <phoneticPr fontId="1" type="noConversion"/>
  </si>
  <si>
    <r>
      <t>0.2</t>
    </r>
    <r>
      <rPr>
        <sz val="11"/>
        <color theme="1"/>
        <rFont val="Calibri"/>
        <family val="2"/>
        <charset val="204"/>
      </rPr>
      <t>Ф</t>
    </r>
    <r>
      <rPr>
        <sz val="11"/>
        <color theme="1"/>
        <rFont val="맑은 고딕"/>
        <family val="2"/>
        <charset val="129"/>
        <scheme val="minor"/>
      </rPr>
      <t>Nn</t>
    </r>
    <phoneticPr fontId="1" type="noConversion"/>
  </si>
  <si>
    <t>ФVn</t>
    <phoneticPr fontId="1" type="noConversion"/>
  </si>
  <si>
    <t>0.2ФNn</t>
    <phoneticPr fontId="2" type="noConversion"/>
  </si>
  <si>
    <r>
      <rPr>
        <sz val="11"/>
        <rFont val="맑은 고딕"/>
        <family val="3"/>
        <charset val="129"/>
      </rPr>
      <t>Ф</t>
    </r>
    <r>
      <rPr>
        <sz val="11"/>
        <rFont val="맑은 고딕"/>
        <family val="3"/>
        <charset val="129"/>
        <scheme val="major"/>
      </rPr>
      <t>Vn</t>
    </r>
    <phoneticPr fontId="2" type="noConversion"/>
  </si>
  <si>
    <t>Case3</t>
    <phoneticPr fontId="1" type="noConversion"/>
  </si>
  <si>
    <t>&gt;</t>
  </si>
  <si>
    <t>and</t>
  </si>
  <si>
    <t>0.2ФNn</t>
  </si>
  <si>
    <t>, Then</t>
    <phoneticPr fontId="1" type="noConversion"/>
  </si>
  <si>
    <t>/</t>
    <phoneticPr fontId="1" type="noConversion"/>
  </si>
  <si>
    <r>
      <t xml:space="preserve">Nua / </t>
    </r>
    <r>
      <rPr>
        <sz val="11"/>
        <color theme="1"/>
        <rFont val="Calibri"/>
        <family val="3"/>
        <charset val="204"/>
      </rPr>
      <t>Ф</t>
    </r>
    <r>
      <rPr>
        <sz val="11"/>
        <color theme="1"/>
        <rFont val="맑은 고딕"/>
        <family val="3"/>
        <charset val="129"/>
        <scheme val="major"/>
      </rPr>
      <t xml:space="preserve">Nn + Vua / </t>
    </r>
    <r>
      <rPr>
        <sz val="11"/>
        <color theme="1"/>
        <rFont val="Calibri"/>
        <family val="3"/>
        <charset val="204"/>
      </rPr>
      <t>Ф</t>
    </r>
    <r>
      <rPr>
        <sz val="11"/>
        <color theme="1"/>
        <rFont val="맑은 고딕"/>
        <family val="3"/>
        <charset val="129"/>
        <scheme val="major"/>
      </rPr>
      <t>Vn ≤ 1.20</t>
    </r>
    <phoneticPr fontId="1" type="noConversion"/>
  </si>
  <si>
    <t>+</t>
    <phoneticPr fontId="1" type="noConversion"/>
  </si>
  <si>
    <t>4. Design Requirements for Tensile Loading</t>
    <phoneticPr fontId="1" type="noConversion"/>
  </si>
  <si>
    <t>5. Design Requirements for Shear Loading</t>
    <phoneticPr fontId="1" type="noConversion"/>
  </si>
  <si>
    <t>6. Interaction of Tensile and Shear Forces</t>
    <phoneticPr fontId="1" type="noConversion"/>
  </si>
  <si>
    <t>3. Edge Distance and Spacing Check for Group Effect</t>
    <phoneticPr fontId="1" type="noConversion"/>
  </si>
  <si>
    <t>Concrete breakout in tension &amp; Bond strength in tension</t>
    <phoneticPr fontId="2" type="noConversion"/>
  </si>
  <si>
    <t>Concrete breakout in tension</t>
  </si>
  <si>
    <t>Concrete blowout in tension</t>
  </si>
  <si>
    <t>Bond Strength in tension</t>
  </si>
  <si>
    <t>Concrete breakout in shear</t>
  </si>
  <si>
    <t>Concrete pryout in shear</t>
  </si>
  <si>
    <t>So</t>
    <phoneticPr fontId="1" type="noConversion"/>
  </si>
  <si>
    <t>3hef</t>
    <phoneticPr fontId="1" type="noConversion"/>
  </si>
  <si>
    <t>6c1</t>
    <phoneticPr fontId="1" type="noConversion"/>
  </si>
  <si>
    <t>2cNa</t>
    <phoneticPr fontId="1" type="noConversion"/>
  </si>
  <si>
    <t>3c1</t>
    <phoneticPr fontId="1" type="noConversion"/>
  </si>
  <si>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맑은 고딕"/>
        <family val="2"/>
        <charset val="129"/>
        <scheme val="minor"/>
      </rPr>
      <t>Grout</t>
    </r>
    <phoneticPr fontId="1" type="noConversion"/>
  </si>
  <si>
    <r>
      <t>P*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맑은 고딕"/>
        <family val="2"/>
        <charset val="129"/>
        <scheme val="minor"/>
      </rPr>
      <t>Grout</t>
    </r>
    <phoneticPr fontId="1" type="noConversion"/>
  </si>
  <si>
    <t>Vua-Vf</t>
    <phoneticPr fontId="1" type="noConversion"/>
  </si>
  <si>
    <r>
      <rPr>
        <sz val="11"/>
        <color theme="1"/>
        <rFont val="Calibri"/>
        <family val="2"/>
        <charset val="204"/>
      </rPr>
      <t>Vf=Ф</t>
    </r>
    <r>
      <rPr>
        <sz val="11"/>
        <color theme="1"/>
        <rFont val="맑은 고딕"/>
        <family val="2"/>
        <charset val="129"/>
        <scheme val="minor"/>
      </rPr>
      <t>V</t>
    </r>
    <r>
      <rPr>
        <sz val="11"/>
        <color theme="1"/>
        <rFont val="Calibri"/>
        <family val="2"/>
      </rPr>
      <t>r</t>
    </r>
    <phoneticPr fontId="1" type="noConversion"/>
  </si>
  <si>
    <r>
      <rPr>
        <sz val="11"/>
        <color theme="1"/>
        <rFont val="Calibri"/>
        <family val="2"/>
        <charset val="204"/>
      </rPr>
      <t>Ф</t>
    </r>
    <r>
      <rPr>
        <sz val="11"/>
        <color theme="1"/>
        <rFont val="맑은 고딕"/>
        <family val="2"/>
        <charset val="129"/>
        <scheme val="minor"/>
      </rPr>
      <t xml:space="preserve"> x (ANc/ANco) x </t>
    </r>
    <r>
      <rPr>
        <sz val="11"/>
        <color theme="1"/>
        <rFont val="Calibri"/>
        <family val="2"/>
        <charset val="161"/>
      </rPr>
      <t>ψ</t>
    </r>
    <r>
      <rPr>
        <sz val="11"/>
        <color theme="1"/>
        <rFont val="Calibri"/>
        <family val="2"/>
      </rPr>
      <t xml:space="preserve">ec,N x </t>
    </r>
    <r>
      <rPr>
        <sz val="11"/>
        <color theme="1"/>
        <rFont val="Calibri"/>
        <family val="2"/>
        <charset val="161"/>
      </rPr>
      <t>ψ</t>
    </r>
    <r>
      <rPr>
        <sz val="11"/>
        <color theme="1"/>
        <rFont val="맑은 고딕"/>
        <family val="2"/>
        <charset val="129"/>
        <scheme val="minor"/>
      </rPr>
      <t xml:space="preserve">ed,N x </t>
    </r>
    <r>
      <rPr>
        <sz val="11"/>
        <color theme="1"/>
        <rFont val="Calibri"/>
        <family val="2"/>
        <charset val="161"/>
      </rPr>
      <t>ψ</t>
    </r>
    <r>
      <rPr>
        <sz val="11"/>
        <color theme="1"/>
        <rFont val="맑은 고딕"/>
        <family val="2"/>
        <charset val="129"/>
        <scheme val="minor"/>
      </rPr>
      <t xml:space="preserve">c,N x </t>
    </r>
    <r>
      <rPr>
        <sz val="11"/>
        <color theme="1"/>
        <rFont val="Calibri"/>
        <family val="2"/>
        <charset val="161"/>
      </rPr>
      <t>ψ</t>
    </r>
    <r>
      <rPr>
        <sz val="11"/>
        <color theme="1"/>
        <rFont val="맑은 고딕"/>
        <family val="2"/>
        <charset val="129"/>
        <scheme val="minor"/>
      </rPr>
      <t>cp,N x Nb</t>
    </r>
    <phoneticPr fontId="1" type="noConversion"/>
  </si>
  <si>
    <r>
      <rPr>
        <sz val="11"/>
        <color theme="1"/>
        <rFont val="Calibri"/>
        <family val="2"/>
        <charset val="161"/>
      </rPr>
      <t>ψ</t>
    </r>
    <r>
      <rPr>
        <sz val="11"/>
        <color theme="1"/>
        <rFont val="맑은 고딕"/>
        <family val="2"/>
        <charset val="129"/>
        <scheme val="minor"/>
      </rPr>
      <t>e</t>
    </r>
    <r>
      <rPr>
        <sz val="11"/>
        <color theme="1"/>
        <rFont val="Calibri"/>
        <family val="2"/>
      </rPr>
      <t>c</t>
    </r>
    <r>
      <rPr>
        <sz val="11"/>
        <color theme="1"/>
        <rFont val="맑은 고딕"/>
        <family val="2"/>
        <charset val="129"/>
        <scheme val="minor"/>
      </rPr>
      <t>,N</t>
    </r>
    <phoneticPr fontId="1" type="noConversion"/>
  </si>
  <si>
    <t>1 / (1+ 2e'N/3hef')</t>
    <phoneticPr fontId="1" type="noConversion"/>
  </si>
  <si>
    <t>e'N</t>
    <phoneticPr fontId="1" type="noConversion"/>
  </si>
  <si>
    <t>≤</t>
    <phoneticPr fontId="1" type="noConversion"/>
  </si>
  <si>
    <t>선설치 헤드스터드</t>
    <phoneticPr fontId="1" type="noConversion"/>
  </si>
  <si>
    <t>선설치 헤드 볼트</t>
    <phoneticPr fontId="1" type="noConversion"/>
  </si>
  <si>
    <t>후설치 확장앵커</t>
    <phoneticPr fontId="1" type="noConversion"/>
  </si>
  <si>
    <t>후설치 언더컷앵커</t>
    <phoneticPr fontId="1" type="noConversion"/>
  </si>
  <si>
    <t>후설치 부착식앵커</t>
    <phoneticPr fontId="1" type="noConversion"/>
  </si>
  <si>
    <t>선설치 갈고리볼트</t>
    <phoneticPr fontId="1" type="noConversion"/>
  </si>
  <si>
    <t>앵커 종류</t>
    <phoneticPr fontId="1" type="noConversion"/>
  </si>
  <si>
    <t>9 x hef'^2 x Nbolt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</si>
</sst>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204"/>
    </font>
    <font>
      <sz val="11"/>
      <color theme="1"/>
      <name val="맑은 고딕"/>
      <family val="2"/>
      <charset val="204"/>
      <scheme val="minor"/>
    </font>
    <font>
      <sz val="11"/>
      <name val="바탕체"/>
      <family val="1"/>
      <charset val="129"/>
    </font>
    <font>
      <sz val="9"/>
      <name val="Arial"/>
      <family val="2"/>
    </font>
    <font>
      <sz val="11"/>
      <name val="돋움체"/>
      <family val="3"/>
      <charset val="129"/>
    </font>
    <font>
      <sz val="11"/>
      <name val="돋움"/>
      <family val="3"/>
      <charset val="129"/>
    </font>
    <font>
      <sz val="11"/>
      <color theme="1"/>
      <name val="Calibri"/>
      <family val="2"/>
      <charset val="161"/>
    </font>
    <font>
      <sz val="11"/>
      <color theme="1"/>
      <name val="맑은 고딕"/>
      <family val="2"/>
      <charset val="161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ajor"/>
    </font>
    <font>
      <vertAlign val="subscript"/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vertAlign val="subscript"/>
      <sz val="11"/>
      <name val="맑은 고딕"/>
      <family val="3"/>
      <charset val="129"/>
      <scheme val="major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name val="Calibri"/>
      <family val="3"/>
      <charset val="204"/>
    </font>
    <font>
      <sz val="11"/>
      <name val="맑은 고딕"/>
      <family val="3"/>
      <charset val="129"/>
    </font>
    <font>
      <sz val="11"/>
      <color theme="1"/>
      <name val="Calibri"/>
      <family val="3"/>
      <charset val="204"/>
    </font>
    <font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6" fillId="0" borderId="0"/>
    <xf numFmtId="0" fontId="9" fillId="0" borderId="0"/>
    <xf numFmtId="0" fontId="9" fillId="0" borderId="0"/>
    <xf numFmtId="0" fontId="28" fillId="0" borderId="0" applyFill="0" applyBorder="0">
      <alignment vertical="center"/>
    </xf>
    <xf numFmtId="0" fontId="9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2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17" fillId="0" borderId="0" xfId="2" applyFont="1" applyAlignment="1">
      <alignment vertical="center"/>
    </xf>
    <xf numFmtId="0" fontId="17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quotePrefix="1" applyAlignment="1">
      <alignment horizontal="center" vertical="center"/>
    </xf>
    <xf numFmtId="0" fontId="0" fillId="0" borderId="0" xfId="5" applyFont="1">
      <alignment vertical="center"/>
    </xf>
    <xf numFmtId="0" fontId="24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0" fillId="0" borderId="0" xfId="0" quotePrefix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 shrinkToFit="1"/>
    </xf>
    <xf numFmtId="176" fontId="17" fillId="0" borderId="0" xfId="0" applyNumberFormat="1" applyFont="1" applyAlignment="1">
      <alignment horizontal="center" vertical="center" shrinkToFit="1"/>
    </xf>
    <xf numFmtId="0" fontId="17" fillId="0" borderId="0" xfId="0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17" fillId="0" borderId="0" xfId="0" applyNumberFormat="1" applyFont="1" applyAlignment="1">
      <alignment horizontal="right" vertical="center" shrinkToFit="1"/>
    </xf>
    <xf numFmtId="2" fontId="17" fillId="0" borderId="0" xfId="3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2" fontId="19" fillId="2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 shrinkToFi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6">
    <cellStyle name="RRE 본문" xfId="4" xr:uid="{C93BF00A-FBF1-4C00-9D43-6162AC7A9AC5}"/>
    <cellStyle name="표준" xfId="0" builtinId="0"/>
    <cellStyle name="표준 12 2" xfId="5" xr:uid="{BE7AD79A-0772-43BD-A3F1-FE8B1626B721}"/>
    <cellStyle name="표준 19" xfId="2" xr:uid="{8F81DE7C-7D41-4F95-9B5F-CD0D16D2B1EC}"/>
    <cellStyle name="표준_DA-2401ING 2" xfId="3" xr:uid="{7D08B410-C5A1-439B-BD83-FBB0BF80B23C}"/>
    <cellStyle name="표준_WOSU" xfId="1" xr:uid="{ACDE2BFC-0FA0-4AD7-9AF1-2D084A6CB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0</xdr:colOff>
      <xdr:row>98</xdr:row>
      <xdr:rowOff>15875</xdr:rowOff>
    </xdr:from>
    <xdr:ext cx="1106217" cy="1136703"/>
    <xdr:pic>
      <xdr:nvPicPr>
        <xdr:cNvPr id="2" name="그림 1" descr="a).jpg">
          <a:extLst>
            <a:ext uri="{FF2B5EF4-FFF2-40B4-BE49-F238E27FC236}">
              <a16:creationId xmlns:a16="http://schemas.microsoft.com/office/drawing/2014/main" id="{A30565B3-68C8-4CDD-9AD4-7DAEAF06E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-11121" t="9079" r="-6729" b="11824"/>
        <a:stretch>
          <a:fillRect/>
        </a:stretch>
      </xdr:blipFill>
      <xdr:spPr bwMode="auto">
        <a:xfrm>
          <a:off x="4791075" y="18608675"/>
          <a:ext cx="1106217" cy="1136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twoCellAnchor editAs="oneCell">
    <xdr:from>
      <xdr:col>36</xdr:col>
      <xdr:colOff>302560</xdr:colOff>
      <xdr:row>124</xdr:row>
      <xdr:rowOff>0</xdr:rowOff>
    </xdr:from>
    <xdr:to>
      <xdr:col>46</xdr:col>
      <xdr:colOff>386492</xdr:colOff>
      <xdr:row>127</xdr:row>
      <xdr:rowOff>185140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2C532EB-CA1C-4EDE-99EF-0020A428A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5235" y="24060150"/>
          <a:ext cx="6751432" cy="813790"/>
        </a:xfrm>
        <a:prstGeom prst="rect">
          <a:avLst/>
        </a:prstGeom>
      </xdr:spPr>
    </xdr:pic>
    <xdr:clientData/>
  </xdr:twoCellAnchor>
  <xdr:oneCellAnchor>
    <xdr:from>
      <xdr:col>27</xdr:col>
      <xdr:colOff>0</xdr:colOff>
      <xdr:row>108</xdr:row>
      <xdr:rowOff>0</xdr:rowOff>
    </xdr:from>
    <xdr:ext cx="1416033" cy="851647"/>
    <xdr:pic>
      <xdr:nvPicPr>
        <xdr:cNvPr id="4" name="그림 3" descr="c).jpg">
          <a:extLst>
            <a:ext uri="{FF2B5EF4-FFF2-40B4-BE49-F238E27FC236}">
              <a16:creationId xmlns:a16="http://schemas.microsoft.com/office/drawing/2014/main" id="{EC0C8EF0-F3AE-47E8-8342-2113BE194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3540" t="-7939" r="4910" b="-5479"/>
        <a:stretch>
          <a:fillRect/>
        </a:stretch>
      </xdr:blipFill>
      <xdr:spPr bwMode="auto">
        <a:xfrm>
          <a:off x="4619625" y="20688300"/>
          <a:ext cx="1416033" cy="851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27</xdr:col>
      <xdr:colOff>0</xdr:colOff>
      <xdr:row>138</xdr:row>
      <xdr:rowOff>0</xdr:rowOff>
    </xdr:from>
    <xdr:ext cx="1104899" cy="1116497"/>
    <xdr:pic>
      <xdr:nvPicPr>
        <xdr:cNvPr id="5" name="그림 5" descr="e).jpg">
          <a:extLst>
            <a:ext uri="{FF2B5EF4-FFF2-40B4-BE49-F238E27FC236}">
              <a16:creationId xmlns:a16="http://schemas.microsoft.com/office/drawing/2014/main" id="{96B95B02-EA47-46E7-9C95-72244E89C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-374" r="-2016" b="11002"/>
        <a:stretch>
          <a:fillRect/>
        </a:stretch>
      </xdr:blipFill>
      <xdr:spPr bwMode="auto">
        <a:xfrm>
          <a:off x="4619625" y="26993850"/>
          <a:ext cx="1104899" cy="111649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29</xdr:col>
      <xdr:colOff>44823</xdr:colOff>
      <xdr:row>150</xdr:row>
      <xdr:rowOff>0</xdr:rowOff>
    </xdr:from>
    <xdr:ext cx="992256" cy="1117960"/>
    <xdr:pic>
      <xdr:nvPicPr>
        <xdr:cNvPr id="6" name="그림 6" descr="f).jpg">
          <a:extLst>
            <a:ext uri="{FF2B5EF4-FFF2-40B4-BE49-F238E27FC236}">
              <a16:creationId xmlns:a16="http://schemas.microsoft.com/office/drawing/2014/main" id="{62126517-85EA-41BE-A470-EE288A6AD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 l="4678" t="9610" r="2010" b="-394"/>
        <a:stretch>
          <a:fillRect/>
        </a:stretch>
      </xdr:blipFill>
      <xdr:spPr bwMode="auto">
        <a:xfrm>
          <a:off x="5007348" y="29565600"/>
          <a:ext cx="992256" cy="11179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27</xdr:col>
      <xdr:colOff>0</xdr:colOff>
      <xdr:row>183</xdr:row>
      <xdr:rowOff>0</xdr:rowOff>
    </xdr:from>
    <xdr:ext cx="868431" cy="1036654"/>
    <xdr:pic>
      <xdr:nvPicPr>
        <xdr:cNvPr id="7" name="그림 2" descr="b).jpg">
          <a:extLst>
            <a:ext uri="{FF2B5EF4-FFF2-40B4-BE49-F238E27FC236}">
              <a16:creationId xmlns:a16="http://schemas.microsoft.com/office/drawing/2014/main" id="{5237EFF0-809E-4229-9A98-F7FE9EB72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-285" t="-4715" r="4440" b="-3735"/>
        <a:stretch>
          <a:fillRect/>
        </a:stretch>
      </xdr:blipFill>
      <xdr:spPr bwMode="auto">
        <a:xfrm>
          <a:off x="4619625" y="36709350"/>
          <a:ext cx="868431" cy="103665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27</xdr:col>
      <xdr:colOff>0</xdr:colOff>
      <xdr:row>194</xdr:row>
      <xdr:rowOff>0</xdr:rowOff>
    </xdr:from>
    <xdr:ext cx="1487556" cy="1341782"/>
    <xdr:pic>
      <xdr:nvPicPr>
        <xdr:cNvPr id="8" name="그림 4" descr="d).jpg">
          <a:extLst>
            <a:ext uri="{FF2B5EF4-FFF2-40B4-BE49-F238E27FC236}">
              <a16:creationId xmlns:a16="http://schemas.microsoft.com/office/drawing/2014/main" id="{1A97C827-C75D-49C8-AFC6-900A9F039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rcRect l="5943" b="9091"/>
        <a:stretch>
          <a:fillRect/>
        </a:stretch>
      </xdr:blipFill>
      <xdr:spPr bwMode="auto">
        <a:xfrm>
          <a:off x="4619625" y="39052500"/>
          <a:ext cx="1487556" cy="13417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27</xdr:col>
      <xdr:colOff>0</xdr:colOff>
      <xdr:row>222</xdr:row>
      <xdr:rowOff>0</xdr:rowOff>
    </xdr:from>
    <xdr:ext cx="1116081" cy="1040296"/>
    <xdr:pic>
      <xdr:nvPicPr>
        <xdr:cNvPr id="9" name="그림 8" descr="g).jpg">
          <a:extLst>
            <a:ext uri="{FF2B5EF4-FFF2-40B4-BE49-F238E27FC236}">
              <a16:creationId xmlns:a16="http://schemas.microsoft.com/office/drawing/2014/main" id="{0FD6525F-F371-495E-988A-8186E6163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rcRect l="5440" r="-325" b="27026"/>
        <a:stretch>
          <a:fillRect/>
        </a:stretch>
      </xdr:blipFill>
      <xdr:spPr bwMode="auto">
        <a:xfrm>
          <a:off x="4619625" y="45091350"/>
          <a:ext cx="1116081" cy="104029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twoCellAnchor>
    <xdr:from>
      <xdr:col>6</xdr:col>
      <xdr:colOff>156882</xdr:colOff>
      <xdr:row>31</xdr:row>
      <xdr:rowOff>11206</xdr:rowOff>
    </xdr:from>
    <xdr:to>
      <xdr:col>30</xdr:col>
      <xdr:colOff>0</xdr:colOff>
      <xdr:row>42</xdr:row>
      <xdr:rowOff>156882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33D0A928-20CC-4EE3-8A43-738661F7950F}"/>
            </a:ext>
          </a:extLst>
        </xdr:cNvPr>
        <xdr:cNvGrpSpPr/>
      </xdr:nvGrpSpPr>
      <xdr:grpSpPr>
        <a:xfrm>
          <a:off x="1154206" y="5221941"/>
          <a:ext cx="3877235" cy="1994647"/>
          <a:chOff x="1154206" y="5221941"/>
          <a:chExt cx="3877235" cy="1994647"/>
        </a:xfrm>
      </xdr:grpSpPr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B1B74936-9016-176A-5788-C61C10F5918E}"/>
              </a:ext>
            </a:extLst>
          </xdr:cNvPr>
          <xdr:cNvSpPr/>
        </xdr:nvSpPr>
        <xdr:spPr>
          <a:xfrm>
            <a:off x="1154206" y="5221941"/>
            <a:ext cx="3877235" cy="1994647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타원 11">
            <a:extLst>
              <a:ext uri="{FF2B5EF4-FFF2-40B4-BE49-F238E27FC236}">
                <a16:creationId xmlns:a16="http://schemas.microsoft.com/office/drawing/2014/main" id="{ADB322CD-F6F0-F1F8-851F-745ADED2A0B4}"/>
              </a:ext>
            </a:extLst>
          </xdr:cNvPr>
          <xdr:cNvSpPr/>
        </xdr:nvSpPr>
        <xdr:spPr>
          <a:xfrm>
            <a:off x="2935940" y="5580529"/>
            <a:ext cx="268942" cy="268942"/>
          </a:xfrm>
          <a:prstGeom prst="ellipse">
            <a:avLst/>
          </a:prstGeom>
          <a:solidFill>
            <a:schemeClr val="bg1"/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" name="타원 12">
            <a:extLst>
              <a:ext uri="{FF2B5EF4-FFF2-40B4-BE49-F238E27FC236}">
                <a16:creationId xmlns:a16="http://schemas.microsoft.com/office/drawing/2014/main" id="{C58ED6B4-25E3-2622-9AEB-D5DC37AB951F}"/>
              </a:ext>
            </a:extLst>
          </xdr:cNvPr>
          <xdr:cNvSpPr/>
        </xdr:nvSpPr>
        <xdr:spPr>
          <a:xfrm>
            <a:off x="1669675" y="5580529"/>
            <a:ext cx="268942" cy="268942"/>
          </a:xfrm>
          <a:prstGeom prst="ellipse">
            <a:avLst/>
          </a:prstGeom>
          <a:solidFill>
            <a:schemeClr val="bg1"/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" name="타원 13">
            <a:extLst>
              <a:ext uri="{FF2B5EF4-FFF2-40B4-BE49-F238E27FC236}">
                <a16:creationId xmlns:a16="http://schemas.microsoft.com/office/drawing/2014/main" id="{D36B9F4C-871D-99B1-D54D-7EBC2DD63ED2}"/>
              </a:ext>
            </a:extLst>
          </xdr:cNvPr>
          <xdr:cNvSpPr/>
        </xdr:nvSpPr>
        <xdr:spPr>
          <a:xfrm>
            <a:off x="4146175" y="5580529"/>
            <a:ext cx="268942" cy="268942"/>
          </a:xfrm>
          <a:prstGeom prst="ellipse">
            <a:avLst/>
          </a:prstGeom>
          <a:solidFill>
            <a:schemeClr val="bg1"/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" name="타원 14">
            <a:extLst>
              <a:ext uri="{FF2B5EF4-FFF2-40B4-BE49-F238E27FC236}">
                <a16:creationId xmlns:a16="http://schemas.microsoft.com/office/drawing/2014/main" id="{898B27CB-B8ED-FA7F-F7B2-3FA6066423F6}"/>
              </a:ext>
            </a:extLst>
          </xdr:cNvPr>
          <xdr:cNvSpPr/>
        </xdr:nvSpPr>
        <xdr:spPr>
          <a:xfrm>
            <a:off x="2935940" y="6555441"/>
            <a:ext cx="268942" cy="268942"/>
          </a:xfrm>
          <a:prstGeom prst="ellipse">
            <a:avLst/>
          </a:prstGeom>
          <a:solidFill>
            <a:schemeClr val="bg1"/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타원 15">
            <a:extLst>
              <a:ext uri="{FF2B5EF4-FFF2-40B4-BE49-F238E27FC236}">
                <a16:creationId xmlns:a16="http://schemas.microsoft.com/office/drawing/2014/main" id="{719EA794-3627-0F65-3E4D-AD6F6E55FAA4}"/>
              </a:ext>
            </a:extLst>
          </xdr:cNvPr>
          <xdr:cNvSpPr/>
        </xdr:nvSpPr>
        <xdr:spPr>
          <a:xfrm>
            <a:off x="1669675" y="6555441"/>
            <a:ext cx="268942" cy="268942"/>
          </a:xfrm>
          <a:prstGeom prst="ellipse">
            <a:avLst/>
          </a:prstGeom>
          <a:solidFill>
            <a:schemeClr val="bg1"/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타원 16">
            <a:extLst>
              <a:ext uri="{FF2B5EF4-FFF2-40B4-BE49-F238E27FC236}">
                <a16:creationId xmlns:a16="http://schemas.microsoft.com/office/drawing/2014/main" id="{667EB820-D8EA-0894-6068-A370AE792DAF}"/>
              </a:ext>
            </a:extLst>
          </xdr:cNvPr>
          <xdr:cNvSpPr/>
        </xdr:nvSpPr>
        <xdr:spPr>
          <a:xfrm>
            <a:off x="4146175" y="6555441"/>
            <a:ext cx="268942" cy="268942"/>
          </a:xfrm>
          <a:prstGeom prst="ellipse">
            <a:avLst/>
          </a:prstGeom>
          <a:solidFill>
            <a:schemeClr val="bg1"/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156882</xdr:colOff>
      <xdr:row>46</xdr:row>
      <xdr:rowOff>124020</xdr:rowOff>
    </xdr:from>
    <xdr:to>
      <xdr:col>30</xdr:col>
      <xdr:colOff>0</xdr:colOff>
      <xdr:row>49</xdr:row>
      <xdr:rowOff>78441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67905CFF-9240-41C0-97D8-B29E20AFC0C7}"/>
            </a:ext>
          </a:extLst>
        </xdr:cNvPr>
        <xdr:cNvGrpSpPr/>
      </xdr:nvGrpSpPr>
      <xdr:grpSpPr>
        <a:xfrm>
          <a:off x="1154206" y="7856079"/>
          <a:ext cx="3877235" cy="458686"/>
          <a:chOff x="1154206" y="4948642"/>
          <a:chExt cx="3877235" cy="2267946"/>
        </a:xfrm>
      </xdr:grpSpPr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ED9DD0BC-8875-E763-6BF5-3D1930528F23}"/>
              </a:ext>
            </a:extLst>
          </xdr:cNvPr>
          <xdr:cNvSpPr/>
        </xdr:nvSpPr>
        <xdr:spPr>
          <a:xfrm>
            <a:off x="1154206" y="5221941"/>
            <a:ext cx="3877235" cy="1994647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" name="타원 19">
            <a:extLst>
              <a:ext uri="{FF2B5EF4-FFF2-40B4-BE49-F238E27FC236}">
                <a16:creationId xmlns:a16="http://schemas.microsoft.com/office/drawing/2014/main" id="{041CA1C4-2568-D58B-11C4-AA13C1ADDA18}"/>
              </a:ext>
            </a:extLst>
          </xdr:cNvPr>
          <xdr:cNvSpPr/>
        </xdr:nvSpPr>
        <xdr:spPr>
          <a:xfrm>
            <a:off x="2935940" y="4948642"/>
            <a:ext cx="268942" cy="268943"/>
          </a:xfrm>
          <a:prstGeom prst="ellipse">
            <a:avLst/>
          </a:prstGeom>
          <a:solidFill>
            <a:schemeClr val="bg1"/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타원 20">
            <a:extLst>
              <a:ext uri="{FF2B5EF4-FFF2-40B4-BE49-F238E27FC236}">
                <a16:creationId xmlns:a16="http://schemas.microsoft.com/office/drawing/2014/main" id="{A53E7029-DB97-619A-AC83-624F0B9A55ED}"/>
              </a:ext>
            </a:extLst>
          </xdr:cNvPr>
          <xdr:cNvSpPr/>
        </xdr:nvSpPr>
        <xdr:spPr>
          <a:xfrm>
            <a:off x="1669675" y="4948642"/>
            <a:ext cx="268942" cy="268943"/>
          </a:xfrm>
          <a:prstGeom prst="ellipse">
            <a:avLst/>
          </a:prstGeom>
          <a:solidFill>
            <a:schemeClr val="bg1"/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타원 21">
            <a:extLst>
              <a:ext uri="{FF2B5EF4-FFF2-40B4-BE49-F238E27FC236}">
                <a16:creationId xmlns:a16="http://schemas.microsoft.com/office/drawing/2014/main" id="{B2E89268-B7ED-2BE0-4970-D29AB7699AAC}"/>
              </a:ext>
            </a:extLst>
          </xdr:cNvPr>
          <xdr:cNvSpPr/>
        </xdr:nvSpPr>
        <xdr:spPr>
          <a:xfrm>
            <a:off x="4146175" y="4948642"/>
            <a:ext cx="268942" cy="268943"/>
          </a:xfrm>
          <a:prstGeom prst="ellipse">
            <a:avLst/>
          </a:prstGeom>
          <a:solidFill>
            <a:schemeClr val="bg1"/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145676</xdr:colOff>
      <xdr:row>34</xdr:row>
      <xdr:rowOff>11206</xdr:rowOff>
    </xdr:from>
    <xdr:to>
      <xdr:col>11</xdr:col>
      <xdr:colOff>0</xdr:colOff>
      <xdr:row>34</xdr:row>
      <xdr:rowOff>11206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45495ED7-1F3E-4459-8D19-A01B9C87E444}"/>
            </a:ext>
          </a:extLst>
        </xdr:cNvPr>
        <xdr:cNvCxnSpPr/>
      </xdr:nvCxnSpPr>
      <xdr:spPr>
        <a:xfrm>
          <a:off x="1164851" y="5840506"/>
          <a:ext cx="711574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145677</xdr:colOff>
      <xdr:row>31</xdr:row>
      <xdr:rowOff>22412</xdr:rowOff>
    </xdr:from>
    <xdr:to>
      <xdr:col>10</xdr:col>
      <xdr:colOff>145677</xdr:colOff>
      <xdr:row>34</xdr:row>
      <xdr:rowOff>44824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5CB41373-E165-45C6-9F6B-96C17B694754}"/>
            </a:ext>
          </a:extLst>
        </xdr:cNvPr>
        <xdr:cNvCxnSpPr/>
      </xdr:nvCxnSpPr>
      <xdr:spPr>
        <a:xfrm>
          <a:off x="1850652" y="5337362"/>
          <a:ext cx="0" cy="5367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156882</xdr:colOff>
      <xdr:row>31</xdr:row>
      <xdr:rowOff>123265</xdr:rowOff>
    </xdr:from>
    <xdr:to>
      <xdr:col>12</xdr:col>
      <xdr:colOff>156882</xdr:colOff>
      <xdr:row>33</xdr:row>
      <xdr:rowOff>11205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F2FB1BE-FEDB-48F1-BF11-C5C204F5243C}"/>
            </a:ext>
          </a:extLst>
        </xdr:cNvPr>
        <xdr:cNvSpPr txBox="1"/>
      </xdr:nvSpPr>
      <xdr:spPr>
        <a:xfrm>
          <a:off x="1861857" y="5438215"/>
          <a:ext cx="342900" cy="230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c1</a:t>
          </a:r>
          <a:endParaRPr lang="ko-KR" altLang="en-US" sz="1100"/>
        </a:p>
      </xdr:txBody>
    </xdr:sp>
    <xdr:clientData/>
  </xdr:twoCellAnchor>
  <xdr:twoCellAnchor>
    <xdr:from>
      <xdr:col>7</xdr:col>
      <xdr:colOff>100852</xdr:colOff>
      <xdr:row>32</xdr:row>
      <xdr:rowOff>112059</xdr:rowOff>
    </xdr:from>
    <xdr:to>
      <xdr:col>9</xdr:col>
      <xdr:colOff>100853</xdr:colOff>
      <xdr:row>34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C784E00-BEDF-4823-B5E7-C8D29362C9D2}"/>
            </a:ext>
          </a:extLst>
        </xdr:cNvPr>
        <xdr:cNvSpPr txBox="1"/>
      </xdr:nvSpPr>
      <xdr:spPr>
        <a:xfrm>
          <a:off x="1291477" y="5598459"/>
          <a:ext cx="342901" cy="2308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c2</a:t>
          </a:r>
          <a:endParaRPr lang="ko-KR" altLang="en-US" sz="1100"/>
        </a:p>
      </xdr:txBody>
    </xdr:sp>
    <xdr:clientData/>
  </xdr:twoCellAnchor>
  <xdr:twoCellAnchor editAs="oneCell">
    <xdr:from>
      <xdr:col>43</xdr:col>
      <xdr:colOff>112058</xdr:colOff>
      <xdr:row>8</xdr:row>
      <xdr:rowOff>67235</xdr:rowOff>
    </xdr:from>
    <xdr:to>
      <xdr:col>49</xdr:col>
      <xdr:colOff>136156</xdr:colOff>
      <xdr:row>39</xdr:row>
      <xdr:rowOff>38823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B2380601-F379-4A05-B6C3-3B36DD1C9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41983" y="1438835"/>
          <a:ext cx="4024598" cy="5286538"/>
        </a:xfrm>
        <a:prstGeom prst="rect">
          <a:avLst/>
        </a:prstGeom>
      </xdr:spPr>
    </xdr:pic>
    <xdr:clientData/>
  </xdr:twoCellAnchor>
  <xdr:twoCellAnchor>
    <xdr:from>
      <xdr:col>46</xdr:col>
      <xdr:colOff>470647</xdr:colOff>
      <xdr:row>35</xdr:row>
      <xdr:rowOff>0</xdr:rowOff>
    </xdr:from>
    <xdr:to>
      <xdr:col>47</xdr:col>
      <xdr:colOff>336176</xdr:colOff>
      <xdr:row>36</xdr:row>
      <xdr:rowOff>112059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FB44DD2-5C6D-4C9D-9416-50E9FBF6D582}"/>
            </a:ext>
          </a:extLst>
        </xdr:cNvPr>
        <xdr:cNvSpPr txBox="1"/>
      </xdr:nvSpPr>
      <xdr:spPr>
        <a:xfrm>
          <a:off x="13300822" y="6000750"/>
          <a:ext cx="532279" cy="2835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100</a:t>
          </a:r>
          <a:endParaRPr lang="ko-KR" altLang="en-US" sz="1100"/>
        </a:p>
      </xdr:txBody>
    </xdr:sp>
    <xdr:clientData/>
  </xdr:twoCellAnchor>
  <xdr:twoCellAnchor editAs="oneCell">
    <xdr:from>
      <xdr:col>39</xdr:col>
      <xdr:colOff>0</xdr:colOff>
      <xdr:row>51</xdr:row>
      <xdr:rowOff>0</xdr:rowOff>
    </xdr:from>
    <xdr:to>
      <xdr:col>49</xdr:col>
      <xdr:colOff>560294</xdr:colOff>
      <xdr:row>73</xdr:row>
      <xdr:rowOff>64304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7F385249-BCFD-2171-F9C5-DD0D80B2F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57029" y="8572500"/>
          <a:ext cx="7283824" cy="47483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0</xdr:colOff>
      <xdr:row>93</xdr:row>
      <xdr:rowOff>15875</xdr:rowOff>
    </xdr:from>
    <xdr:ext cx="1106217" cy="1136703"/>
    <xdr:pic>
      <xdr:nvPicPr>
        <xdr:cNvPr id="2" name="그림 1" descr="a).jpg">
          <a:extLst>
            <a:ext uri="{FF2B5EF4-FFF2-40B4-BE49-F238E27FC236}">
              <a16:creationId xmlns:a16="http://schemas.microsoft.com/office/drawing/2014/main" id="{2F1A790C-1C70-488C-82FE-84C5AC19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-11121" t="9079" r="-6729" b="11824"/>
        <a:stretch>
          <a:fillRect/>
        </a:stretch>
      </xdr:blipFill>
      <xdr:spPr bwMode="auto">
        <a:xfrm>
          <a:off x="4791075" y="18608675"/>
          <a:ext cx="1106217" cy="1136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twoCellAnchor editAs="oneCell">
    <xdr:from>
      <xdr:col>36</xdr:col>
      <xdr:colOff>302560</xdr:colOff>
      <xdr:row>122</xdr:row>
      <xdr:rowOff>0</xdr:rowOff>
    </xdr:from>
    <xdr:to>
      <xdr:col>46</xdr:col>
      <xdr:colOff>386492</xdr:colOff>
      <xdr:row>125</xdr:row>
      <xdr:rowOff>185140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CE42B55-499B-4D16-9929-B79D91A89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5235" y="24060150"/>
          <a:ext cx="6751432" cy="813790"/>
        </a:xfrm>
        <a:prstGeom prst="rect">
          <a:avLst/>
        </a:prstGeom>
      </xdr:spPr>
    </xdr:pic>
    <xdr:clientData/>
  </xdr:twoCellAnchor>
  <xdr:oneCellAnchor>
    <xdr:from>
      <xdr:col>27</xdr:col>
      <xdr:colOff>0</xdr:colOff>
      <xdr:row>103</xdr:row>
      <xdr:rowOff>0</xdr:rowOff>
    </xdr:from>
    <xdr:ext cx="1416033" cy="851647"/>
    <xdr:pic>
      <xdr:nvPicPr>
        <xdr:cNvPr id="4" name="그림 3" descr="c).jpg">
          <a:extLst>
            <a:ext uri="{FF2B5EF4-FFF2-40B4-BE49-F238E27FC236}">
              <a16:creationId xmlns:a16="http://schemas.microsoft.com/office/drawing/2014/main" id="{AC7ED054-4127-48C2-A9B5-E08AB9935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3540" t="-7939" r="4910" b="-5479"/>
        <a:stretch>
          <a:fillRect/>
        </a:stretch>
      </xdr:blipFill>
      <xdr:spPr bwMode="auto">
        <a:xfrm>
          <a:off x="4619625" y="20688300"/>
          <a:ext cx="1416033" cy="851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27</xdr:col>
      <xdr:colOff>0</xdr:colOff>
      <xdr:row>136</xdr:row>
      <xdr:rowOff>0</xdr:rowOff>
    </xdr:from>
    <xdr:ext cx="1104899" cy="1116497"/>
    <xdr:pic>
      <xdr:nvPicPr>
        <xdr:cNvPr id="5" name="그림 5" descr="e).jpg">
          <a:extLst>
            <a:ext uri="{FF2B5EF4-FFF2-40B4-BE49-F238E27FC236}">
              <a16:creationId xmlns:a16="http://schemas.microsoft.com/office/drawing/2014/main" id="{F020745E-9C25-430D-BECF-72A3F74A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-374" r="-2016" b="11002"/>
        <a:stretch>
          <a:fillRect/>
        </a:stretch>
      </xdr:blipFill>
      <xdr:spPr bwMode="auto">
        <a:xfrm>
          <a:off x="4619625" y="26993850"/>
          <a:ext cx="1104899" cy="111649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29</xdr:col>
      <xdr:colOff>44823</xdr:colOff>
      <xdr:row>148</xdr:row>
      <xdr:rowOff>0</xdr:rowOff>
    </xdr:from>
    <xdr:ext cx="992256" cy="1117960"/>
    <xdr:pic>
      <xdr:nvPicPr>
        <xdr:cNvPr id="6" name="그림 6" descr="f).jpg">
          <a:extLst>
            <a:ext uri="{FF2B5EF4-FFF2-40B4-BE49-F238E27FC236}">
              <a16:creationId xmlns:a16="http://schemas.microsoft.com/office/drawing/2014/main" id="{60096DB3-2733-4A01-9729-1858F04AE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 l="4678" t="9610" r="2010" b="-394"/>
        <a:stretch>
          <a:fillRect/>
        </a:stretch>
      </xdr:blipFill>
      <xdr:spPr bwMode="auto">
        <a:xfrm>
          <a:off x="5007348" y="29565600"/>
          <a:ext cx="992256" cy="11179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27</xdr:col>
      <xdr:colOff>0</xdr:colOff>
      <xdr:row>181</xdr:row>
      <xdr:rowOff>0</xdr:rowOff>
    </xdr:from>
    <xdr:ext cx="868431" cy="1036654"/>
    <xdr:pic>
      <xdr:nvPicPr>
        <xdr:cNvPr id="7" name="그림 2" descr="b).jpg">
          <a:extLst>
            <a:ext uri="{FF2B5EF4-FFF2-40B4-BE49-F238E27FC236}">
              <a16:creationId xmlns:a16="http://schemas.microsoft.com/office/drawing/2014/main" id="{097D4F44-F515-436F-B286-319E000ED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-285" t="-4715" r="4440" b="-3735"/>
        <a:stretch>
          <a:fillRect/>
        </a:stretch>
      </xdr:blipFill>
      <xdr:spPr bwMode="auto">
        <a:xfrm>
          <a:off x="4619625" y="36709350"/>
          <a:ext cx="868431" cy="103665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27</xdr:col>
      <xdr:colOff>0</xdr:colOff>
      <xdr:row>192</xdr:row>
      <xdr:rowOff>0</xdr:rowOff>
    </xdr:from>
    <xdr:ext cx="1487556" cy="1341782"/>
    <xdr:pic>
      <xdr:nvPicPr>
        <xdr:cNvPr id="8" name="그림 4" descr="d).jpg">
          <a:extLst>
            <a:ext uri="{FF2B5EF4-FFF2-40B4-BE49-F238E27FC236}">
              <a16:creationId xmlns:a16="http://schemas.microsoft.com/office/drawing/2014/main" id="{F3E6B629-D5E3-44A0-967E-14A1812C7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rcRect l="5943" b="9091"/>
        <a:stretch>
          <a:fillRect/>
        </a:stretch>
      </xdr:blipFill>
      <xdr:spPr bwMode="auto">
        <a:xfrm>
          <a:off x="4619625" y="39052500"/>
          <a:ext cx="1487556" cy="13417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27</xdr:col>
      <xdr:colOff>0</xdr:colOff>
      <xdr:row>220</xdr:row>
      <xdr:rowOff>0</xdr:rowOff>
    </xdr:from>
    <xdr:ext cx="1116081" cy="1040296"/>
    <xdr:pic>
      <xdr:nvPicPr>
        <xdr:cNvPr id="9" name="그림 8" descr="g).jpg">
          <a:extLst>
            <a:ext uri="{FF2B5EF4-FFF2-40B4-BE49-F238E27FC236}">
              <a16:creationId xmlns:a16="http://schemas.microsoft.com/office/drawing/2014/main" id="{ED2FFD32-2610-47EC-B5A2-8E7516D47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rcRect l="5440" r="-325" b="27026"/>
        <a:stretch>
          <a:fillRect/>
        </a:stretch>
      </xdr:blipFill>
      <xdr:spPr bwMode="auto">
        <a:xfrm>
          <a:off x="4619625" y="45091350"/>
          <a:ext cx="1116081" cy="104029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twoCellAnchor>
    <xdr:from>
      <xdr:col>6</xdr:col>
      <xdr:colOff>156882</xdr:colOff>
      <xdr:row>31</xdr:row>
      <xdr:rowOff>11206</xdr:rowOff>
    </xdr:from>
    <xdr:to>
      <xdr:col>30</xdr:col>
      <xdr:colOff>0</xdr:colOff>
      <xdr:row>42</xdr:row>
      <xdr:rowOff>156882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C357633D-0B22-4C93-A0A5-88B020C83185}"/>
            </a:ext>
          </a:extLst>
        </xdr:cNvPr>
        <xdr:cNvGrpSpPr/>
      </xdr:nvGrpSpPr>
      <xdr:grpSpPr>
        <a:xfrm>
          <a:off x="1176057" y="5326156"/>
          <a:ext cx="3957918" cy="2031626"/>
          <a:chOff x="1154206" y="5221941"/>
          <a:chExt cx="3877235" cy="1994647"/>
        </a:xfrm>
      </xdr:grpSpPr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74013A15-5D69-1403-98E4-A5B76A11D558}"/>
              </a:ext>
            </a:extLst>
          </xdr:cNvPr>
          <xdr:cNvSpPr/>
        </xdr:nvSpPr>
        <xdr:spPr>
          <a:xfrm>
            <a:off x="1154206" y="5221941"/>
            <a:ext cx="3877235" cy="1994647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타원 11">
            <a:extLst>
              <a:ext uri="{FF2B5EF4-FFF2-40B4-BE49-F238E27FC236}">
                <a16:creationId xmlns:a16="http://schemas.microsoft.com/office/drawing/2014/main" id="{020D7672-AE4C-9C12-9355-5DDFCEDF32D8}"/>
              </a:ext>
            </a:extLst>
          </xdr:cNvPr>
          <xdr:cNvSpPr/>
        </xdr:nvSpPr>
        <xdr:spPr>
          <a:xfrm>
            <a:off x="2935940" y="5580529"/>
            <a:ext cx="268942" cy="268942"/>
          </a:xfrm>
          <a:prstGeom prst="ellipse">
            <a:avLst/>
          </a:prstGeom>
          <a:solidFill>
            <a:schemeClr val="bg1"/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" name="타원 12">
            <a:extLst>
              <a:ext uri="{FF2B5EF4-FFF2-40B4-BE49-F238E27FC236}">
                <a16:creationId xmlns:a16="http://schemas.microsoft.com/office/drawing/2014/main" id="{5103FB31-EBF2-1248-76AB-9CB4EF5CEB7C}"/>
              </a:ext>
            </a:extLst>
          </xdr:cNvPr>
          <xdr:cNvSpPr/>
        </xdr:nvSpPr>
        <xdr:spPr>
          <a:xfrm>
            <a:off x="1669675" y="5580529"/>
            <a:ext cx="268942" cy="268942"/>
          </a:xfrm>
          <a:prstGeom prst="ellipse">
            <a:avLst/>
          </a:prstGeom>
          <a:solidFill>
            <a:schemeClr val="bg1"/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" name="타원 13">
            <a:extLst>
              <a:ext uri="{FF2B5EF4-FFF2-40B4-BE49-F238E27FC236}">
                <a16:creationId xmlns:a16="http://schemas.microsoft.com/office/drawing/2014/main" id="{D97CC905-C122-CC98-5275-EBDB007C433F}"/>
              </a:ext>
            </a:extLst>
          </xdr:cNvPr>
          <xdr:cNvSpPr/>
        </xdr:nvSpPr>
        <xdr:spPr>
          <a:xfrm>
            <a:off x="4146175" y="5580529"/>
            <a:ext cx="268942" cy="268942"/>
          </a:xfrm>
          <a:prstGeom prst="ellipse">
            <a:avLst/>
          </a:prstGeom>
          <a:solidFill>
            <a:schemeClr val="bg1"/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" name="타원 14">
            <a:extLst>
              <a:ext uri="{FF2B5EF4-FFF2-40B4-BE49-F238E27FC236}">
                <a16:creationId xmlns:a16="http://schemas.microsoft.com/office/drawing/2014/main" id="{487D92E8-9EB9-A48A-A3E6-2BD92A780CD9}"/>
              </a:ext>
            </a:extLst>
          </xdr:cNvPr>
          <xdr:cNvSpPr/>
        </xdr:nvSpPr>
        <xdr:spPr>
          <a:xfrm>
            <a:off x="2935940" y="6555441"/>
            <a:ext cx="268942" cy="268942"/>
          </a:xfrm>
          <a:prstGeom prst="ellipse">
            <a:avLst/>
          </a:prstGeom>
          <a:solidFill>
            <a:schemeClr val="bg1"/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타원 15">
            <a:extLst>
              <a:ext uri="{FF2B5EF4-FFF2-40B4-BE49-F238E27FC236}">
                <a16:creationId xmlns:a16="http://schemas.microsoft.com/office/drawing/2014/main" id="{F8887B01-D235-FD5C-B4ED-41BF28ABC06B}"/>
              </a:ext>
            </a:extLst>
          </xdr:cNvPr>
          <xdr:cNvSpPr/>
        </xdr:nvSpPr>
        <xdr:spPr>
          <a:xfrm>
            <a:off x="1669675" y="6555441"/>
            <a:ext cx="268942" cy="268942"/>
          </a:xfrm>
          <a:prstGeom prst="ellipse">
            <a:avLst/>
          </a:prstGeom>
          <a:solidFill>
            <a:schemeClr val="bg1"/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타원 16">
            <a:extLst>
              <a:ext uri="{FF2B5EF4-FFF2-40B4-BE49-F238E27FC236}">
                <a16:creationId xmlns:a16="http://schemas.microsoft.com/office/drawing/2014/main" id="{9D02F84E-C7D5-8443-3346-BCB449029378}"/>
              </a:ext>
            </a:extLst>
          </xdr:cNvPr>
          <xdr:cNvSpPr/>
        </xdr:nvSpPr>
        <xdr:spPr>
          <a:xfrm>
            <a:off x="4146175" y="6555441"/>
            <a:ext cx="268942" cy="268942"/>
          </a:xfrm>
          <a:prstGeom prst="ellipse">
            <a:avLst/>
          </a:prstGeom>
          <a:solidFill>
            <a:schemeClr val="bg1"/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156882</xdr:colOff>
      <xdr:row>46</xdr:row>
      <xdr:rowOff>124020</xdr:rowOff>
    </xdr:from>
    <xdr:to>
      <xdr:col>30</xdr:col>
      <xdr:colOff>0</xdr:colOff>
      <xdr:row>49</xdr:row>
      <xdr:rowOff>78441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D43BCB0-CC64-4239-8BD9-B8E561742A98}"/>
            </a:ext>
          </a:extLst>
        </xdr:cNvPr>
        <xdr:cNvGrpSpPr/>
      </xdr:nvGrpSpPr>
      <xdr:grpSpPr>
        <a:xfrm>
          <a:off x="1176057" y="8010720"/>
          <a:ext cx="3957918" cy="468771"/>
          <a:chOff x="1154206" y="4948642"/>
          <a:chExt cx="3877235" cy="2267946"/>
        </a:xfrm>
      </xdr:grpSpPr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29D463E4-439E-5D14-0881-2385100CD6FB}"/>
              </a:ext>
            </a:extLst>
          </xdr:cNvPr>
          <xdr:cNvSpPr/>
        </xdr:nvSpPr>
        <xdr:spPr>
          <a:xfrm>
            <a:off x="1154206" y="5221941"/>
            <a:ext cx="3877235" cy="1994647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" name="타원 19">
            <a:extLst>
              <a:ext uri="{FF2B5EF4-FFF2-40B4-BE49-F238E27FC236}">
                <a16:creationId xmlns:a16="http://schemas.microsoft.com/office/drawing/2014/main" id="{A4D64052-C227-2ADF-98B4-AA917FA67673}"/>
              </a:ext>
            </a:extLst>
          </xdr:cNvPr>
          <xdr:cNvSpPr/>
        </xdr:nvSpPr>
        <xdr:spPr>
          <a:xfrm>
            <a:off x="2935940" y="4948642"/>
            <a:ext cx="268942" cy="268943"/>
          </a:xfrm>
          <a:prstGeom prst="ellipse">
            <a:avLst/>
          </a:prstGeom>
          <a:solidFill>
            <a:schemeClr val="bg1"/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타원 20">
            <a:extLst>
              <a:ext uri="{FF2B5EF4-FFF2-40B4-BE49-F238E27FC236}">
                <a16:creationId xmlns:a16="http://schemas.microsoft.com/office/drawing/2014/main" id="{EB96727C-C570-1678-E401-9C1CC8E2C0A8}"/>
              </a:ext>
            </a:extLst>
          </xdr:cNvPr>
          <xdr:cNvSpPr/>
        </xdr:nvSpPr>
        <xdr:spPr>
          <a:xfrm>
            <a:off x="1669675" y="4948642"/>
            <a:ext cx="268942" cy="268943"/>
          </a:xfrm>
          <a:prstGeom prst="ellipse">
            <a:avLst/>
          </a:prstGeom>
          <a:solidFill>
            <a:schemeClr val="bg1"/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타원 21">
            <a:extLst>
              <a:ext uri="{FF2B5EF4-FFF2-40B4-BE49-F238E27FC236}">
                <a16:creationId xmlns:a16="http://schemas.microsoft.com/office/drawing/2014/main" id="{199D0F23-ED23-ED83-B561-5B94BEBFBD00}"/>
              </a:ext>
            </a:extLst>
          </xdr:cNvPr>
          <xdr:cNvSpPr/>
        </xdr:nvSpPr>
        <xdr:spPr>
          <a:xfrm>
            <a:off x="4146175" y="4948642"/>
            <a:ext cx="268942" cy="268943"/>
          </a:xfrm>
          <a:prstGeom prst="ellipse">
            <a:avLst/>
          </a:prstGeom>
          <a:solidFill>
            <a:schemeClr val="bg1"/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145676</xdr:colOff>
      <xdr:row>34</xdr:row>
      <xdr:rowOff>11206</xdr:rowOff>
    </xdr:from>
    <xdr:to>
      <xdr:col>11</xdr:col>
      <xdr:colOff>0</xdr:colOff>
      <xdr:row>34</xdr:row>
      <xdr:rowOff>11206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F2C09002-521B-4E82-BA27-EAA9DA7DE830}"/>
            </a:ext>
          </a:extLst>
        </xdr:cNvPr>
        <xdr:cNvCxnSpPr/>
      </xdr:nvCxnSpPr>
      <xdr:spPr>
        <a:xfrm>
          <a:off x="1164851" y="5840506"/>
          <a:ext cx="711574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145677</xdr:colOff>
      <xdr:row>31</xdr:row>
      <xdr:rowOff>22412</xdr:rowOff>
    </xdr:from>
    <xdr:to>
      <xdr:col>10</xdr:col>
      <xdr:colOff>145677</xdr:colOff>
      <xdr:row>34</xdr:row>
      <xdr:rowOff>44824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85899EBF-29C4-46E6-9FA8-03E2948EFB56}"/>
            </a:ext>
          </a:extLst>
        </xdr:cNvPr>
        <xdr:cNvCxnSpPr/>
      </xdr:nvCxnSpPr>
      <xdr:spPr>
        <a:xfrm>
          <a:off x="1850652" y="5337362"/>
          <a:ext cx="0" cy="5367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156882</xdr:colOff>
      <xdr:row>31</xdr:row>
      <xdr:rowOff>123265</xdr:rowOff>
    </xdr:from>
    <xdr:to>
      <xdr:col>12</xdr:col>
      <xdr:colOff>156882</xdr:colOff>
      <xdr:row>33</xdr:row>
      <xdr:rowOff>11205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4FCAB5F-E4A3-4FEF-A7C7-4BAA5BAEF3BB}"/>
            </a:ext>
          </a:extLst>
        </xdr:cNvPr>
        <xdr:cNvSpPr txBox="1"/>
      </xdr:nvSpPr>
      <xdr:spPr>
        <a:xfrm>
          <a:off x="1861857" y="5438215"/>
          <a:ext cx="342900" cy="230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c1</a:t>
          </a:r>
          <a:endParaRPr lang="ko-KR" altLang="en-US" sz="1100"/>
        </a:p>
      </xdr:txBody>
    </xdr:sp>
    <xdr:clientData/>
  </xdr:twoCellAnchor>
  <xdr:twoCellAnchor>
    <xdr:from>
      <xdr:col>7</xdr:col>
      <xdr:colOff>100852</xdr:colOff>
      <xdr:row>32</xdr:row>
      <xdr:rowOff>112059</xdr:rowOff>
    </xdr:from>
    <xdr:to>
      <xdr:col>9</xdr:col>
      <xdr:colOff>100853</xdr:colOff>
      <xdr:row>34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AFF625C-4FCC-48C5-B105-1203BBFD744B}"/>
            </a:ext>
          </a:extLst>
        </xdr:cNvPr>
        <xdr:cNvSpPr txBox="1"/>
      </xdr:nvSpPr>
      <xdr:spPr>
        <a:xfrm>
          <a:off x="1291477" y="5598459"/>
          <a:ext cx="342901" cy="2308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c2</a:t>
          </a:r>
          <a:endParaRPr lang="ko-KR" altLang="en-US" sz="1100"/>
        </a:p>
      </xdr:txBody>
    </xdr:sp>
    <xdr:clientData/>
  </xdr:twoCellAnchor>
  <xdr:twoCellAnchor editAs="oneCell">
    <xdr:from>
      <xdr:col>43</xdr:col>
      <xdr:colOff>112058</xdr:colOff>
      <xdr:row>8</xdr:row>
      <xdr:rowOff>67235</xdr:rowOff>
    </xdr:from>
    <xdr:to>
      <xdr:col>49</xdr:col>
      <xdr:colOff>136156</xdr:colOff>
      <xdr:row>39</xdr:row>
      <xdr:rowOff>38823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17E94BC7-DBA8-4435-85DE-E39D1162D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41983" y="1438835"/>
          <a:ext cx="4024598" cy="5286538"/>
        </a:xfrm>
        <a:prstGeom prst="rect">
          <a:avLst/>
        </a:prstGeom>
      </xdr:spPr>
    </xdr:pic>
    <xdr:clientData/>
  </xdr:twoCellAnchor>
  <xdr:twoCellAnchor>
    <xdr:from>
      <xdr:col>46</xdr:col>
      <xdr:colOff>470647</xdr:colOff>
      <xdr:row>35</xdr:row>
      <xdr:rowOff>0</xdr:rowOff>
    </xdr:from>
    <xdr:to>
      <xdr:col>47</xdr:col>
      <xdr:colOff>336176</xdr:colOff>
      <xdr:row>36</xdr:row>
      <xdr:rowOff>112059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AC96238-4735-4FF9-AEE0-6D52D18506DE}"/>
            </a:ext>
          </a:extLst>
        </xdr:cNvPr>
        <xdr:cNvSpPr txBox="1"/>
      </xdr:nvSpPr>
      <xdr:spPr>
        <a:xfrm>
          <a:off x="13300822" y="6000750"/>
          <a:ext cx="532279" cy="2835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100</a:t>
          </a:r>
          <a:endParaRPr lang="ko-KR" altLang="en-US" sz="1100"/>
        </a:p>
      </xdr:txBody>
    </xdr:sp>
    <xdr:clientData/>
  </xdr:twoCellAnchor>
  <xdr:twoCellAnchor editAs="oneCell">
    <xdr:from>
      <xdr:col>39</xdr:col>
      <xdr:colOff>0</xdr:colOff>
      <xdr:row>51</xdr:row>
      <xdr:rowOff>0</xdr:rowOff>
    </xdr:from>
    <xdr:to>
      <xdr:col>49</xdr:col>
      <xdr:colOff>560294</xdr:colOff>
      <xdr:row>73</xdr:row>
      <xdr:rowOff>64304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36AE6862-3058-4498-9EF7-5A5EB4C68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62925" y="8743950"/>
          <a:ext cx="7227794" cy="4674404"/>
        </a:xfrm>
        <a:prstGeom prst="rect">
          <a:avLst/>
        </a:prstGeom>
      </xdr:spPr>
    </xdr:pic>
    <xdr:clientData/>
  </xdr:twoCellAnchor>
  <xdr:twoCellAnchor editAs="oneCell">
    <xdr:from>
      <xdr:col>41</xdr:col>
      <xdr:colOff>246529</xdr:colOff>
      <xdr:row>104</xdr:row>
      <xdr:rowOff>145676</xdr:rowOff>
    </xdr:from>
    <xdr:to>
      <xdr:col>50</xdr:col>
      <xdr:colOff>168087</xdr:colOff>
      <xdr:row>121</xdr:row>
      <xdr:rowOff>13372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C9C5FA53-533D-B4D1-6F22-DE8B48EEA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648264" y="20002500"/>
          <a:ext cx="5972735" cy="3498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AAA6-658B-4C34-B06F-31BFF034BEE6}">
  <dimension ref="C1:AP287"/>
  <sheetViews>
    <sheetView tabSelected="1" view="pageBreakPreview" topLeftCell="A56" zoomScale="85" zoomScaleNormal="100" zoomScaleSheetLayoutView="85" workbookViewId="0">
      <selection activeCell="Q76" sqref="Q76"/>
    </sheetView>
  </sheetViews>
  <sheetFormatPr defaultColWidth="8.75" defaultRowHeight="16.5"/>
  <cols>
    <col min="1" max="1" width="2.125" customWidth="1"/>
    <col min="2" max="28" width="2.25" customWidth="1"/>
    <col min="29" max="29" width="2.25" style="4" customWidth="1"/>
    <col min="30" max="30" width="2.25" customWidth="1"/>
    <col min="31" max="31" width="2.25" style="5" customWidth="1"/>
    <col min="32" max="36" width="2.25" customWidth="1"/>
  </cols>
  <sheetData>
    <row r="1" spans="3:40" ht="14.1" customHeight="1"/>
    <row r="2" spans="3:40" ht="14.1" customHeight="1">
      <c r="C2" s="3" t="s">
        <v>0</v>
      </c>
    </row>
    <row r="3" spans="3:40" ht="14.1" customHeight="1"/>
    <row r="4" spans="3:40" ht="14.1" customHeight="1">
      <c r="E4" s="1" t="s">
        <v>3</v>
      </c>
      <c r="F4" t="s">
        <v>4</v>
      </c>
      <c r="AC4" s="4" t="s">
        <v>12</v>
      </c>
      <c r="AD4" s="1" t="s">
        <v>11</v>
      </c>
      <c r="AE4" s="24">
        <v>6300</v>
      </c>
      <c r="AF4" s="24"/>
      <c r="AG4" s="24"/>
      <c r="AH4" t="s">
        <v>1</v>
      </c>
    </row>
    <row r="5" spans="3:40" ht="14.1" customHeight="1">
      <c r="E5" s="1" t="s">
        <v>3</v>
      </c>
      <c r="F5" t="s">
        <v>5</v>
      </c>
      <c r="AC5" s="4" t="s">
        <v>2</v>
      </c>
      <c r="AD5" s="1" t="s">
        <v>11</v>
      </c>
      <c r="AE5" s="24">
        <v>2800</v>
      </c>
      <c r="AF5" s="24"/>
      <c r="AG5" s="24"/>
      <c r="AH5" t="s">
        <v>1</v>
      </c>
    </row>
    <row r="6" spans="3:40" ht="14.1" customHeight="1">
      <c r="E6" s="1" t="s">
        <v>3</v>
      </c>
      <c r="F6" t="s">
        <v>6</v>
      </c>
      <c r="AC6" s="4" t="s">
        <v>7</v>
      </c>
      <c r="AD6" s="1" t="s">
        <v>11</v>
      </c>
      <c r="AE6" s="30">
        <v>1150</v>
      </c>
      <c r="AF6" s="30"/>
      <c r="AG6" s="30"/>
      <c r="AH6" t="s">
        <v>1</v>
      </c>
      <c r="AL6" t="s">
        <v>162</v>
      </c>
    </row>
    <row r="7" spans="3:40" ht="14.1" customHeight="1">
      <c r="E7" s="1" t="s">
        <v>3</v>
      </c>
      <c r="F7" t="s">
        <v>87</v>
      </c>
      <c r="AC7" s="4" t="s">
        <v>88</v>
      </c>
      <c r="AD7" s="1" t="s">
        <v>11</v>
      </c>
      <c r="AE7" s="30">
        <v>24</v>
      </c>
      <c r="AF7" s="30"/>
      <c r="AG7" s="30"/>
      <c r="AH7" t="s">
        <v>21</v>
      </c>
      <c r="AL7" t="s">
        <v>163</v>
      </c>
    </row>
    <row r="8" spans="3:40" ht="14.1" customHeight="1">
      <c r="E8" s="1"/>
      <c r="AD8" s="1"/>
      <c r="AN8" t="s">
        <v>210</v>
      </c>
    </row>
    <row r="9" spans="3:40" ht="14.1" customHeight="1">
      <c r="E9" s="1" t="s">
        <v>3</v>
      </c>
      <c r="F9" t="s">
        <v>26</v>
      </c>
      <c r="AC9" s="4" t="s">
        <v>27</v>
      </c>
      <c r="AD9" s="1" t="s">
        <v>11</v>
      </c>
      <c r="AE9" s="37" t="s">
        <v>209</v>
      </c>
      <c r="AF9" s="37"/>
      <c r="AG9" s="37"/>
      <c r="AH9" s="37"/>
      <c r="AI9" s="37"/>
      <c r="AJ9" s="37"/>
      <c r="AN9" t="s">
        <v>204</v>
      </c>
    </row>
    <row r="10" spans="3:40" ht="14.1" customHeight="1">
      <c r="E10" s="1" t="s">
        <v>3</v>
      </c>
      <c r="F10" t="s">
        <v>9</v>
      </c>
      <c r="AC10" s="4" t="s">
        <v>13</v>
      </c>
      <c r="AD10" s="1" t="s">
        <v>11</v>
      </c>
      <c r="AE10" s="24">
        <v>30</v>
      </c>
      <c r="AF10" s="24"/>
      <c r="AG10" s="24"/>
      <c r="AH10" t="s">
        <v>1</v>
      </c>
      <c r="AN10" t="s">
        <v>205</v>
      </c>
    </row>
    <row r="11" spans="3:40" ht="14.1" customHeight="1">
      <c r="E11" s="1" t="s">
        <v>3</v>
      </c>
      <c r="F11" t="s">
        <v>14</v>
      </c>
      <c r="AC11" s="4" t="s">
        <v>15</v>
      </c>
      <c r="AD11" s="1" t="s">
        <v>11</v>
      </c>
      <c r="AE11" s="24">
        <v>14</v>
      </c>
      <c r="AF11" s="24"/>
      <c r="AG11" s="24"/>
      <c r="AH11" t="s">
        <v>16</v>
      </c>
      <c r="AN11" t="s">
        <v>209</v>
      </c>
    </row>
    <row r="12" spans="3:40" ht="14.1" customHeight="1">
      <c r="E12" s="1" t="s">
        <v>3</v>
      </c>
      <c r="F12" t="s">
        <v>17</v>
      </c>
      <c r="AC12" s="4" t="s">
        <v>19</v>
      </c>
      <c r="AD12" s="1" t="s">
        <v>11</v>
      </c>
      <c r="AE12" s="24">
        <f>AE10^2/4*PI()</f>
        <v>706.85834705770344</v>
      </c>
      <c r="AF12" s="24"/>
      <c r="AG12" s="24"/>
      <c r="AH12" t="s">
        <v>18</v>
      </c>
      <c r="AN12" t="s">
        <v>206</v>
      </c>
    </row>
    <row r="13" spans="3:40" ht="14.1" customHeight="1">
      <c r="E13" s="1" t="s">
        <v>3</v>
      </c>
      <c r="F13" t="s">
        <v>28</v>
      </c>
      <c r="AC13" s="4" t="s">
        <v>29</v>
      </c>
      <c r="AD13" s="1" t="s">
        <v>11</v>
      </c>
      <c r="AE13" s="30">
        <v>1126</v>
      </c>
      <c r="AF13" s="30"/>
      <c r="AG13" s="30"/>
      <c r="AH13" t="s">
        <v>18</v>
      </c>
      <c r="AL13" t="s">
        <v>30</v>
      </c>
      <c r="AN13" t="s">
        <v>207</v>
      </c>
    </row>
    <row r="14" spans="3:40" ht="14.1" customHeight="1">
      <c r="E14" s="1" t="s">
        <v>3</v>
      </c>
      <c r="F14" t="s">
        <v>20</v>
      </c>
      <c r="AC14" s="4" t="s">
        <v>22</v>
      </c>
      <c r="AD14" s="1" t="s">
        <v>11</v>
      </c>
      <c r="AE14" s="24">
        <v>720</v>
      </c>
      <c r="AF14" s="24"/>
      <c r="AG14" s="24"/>
      <c r="AH14" t="s">
        <v>21</v>
      </c>
      <c r="AN14" t="s">
        <v>208</v>
      </c>
    </row>
    <row r="15" spans="3:40" ht="14.1" customHeight="1">
      <c r="E15" s="1" t="s">
        <v>3</v>
      </c>
      <c r="F15" t="s">
        <v>23</v>
      </c>
      <c r="AC15" s="4" t="s">
        <v>25</v>
      </c>
      <c r="AD15" s="1" t="s">
        <v>11</v>
      </c>
      <c r="AE15" s="24">
        <v>860</v>
      </c>
      <c r="AF15" s="24"/>
      <c r="AG15" s="24"/>
      <c r="AH15" t="s">
        <v>21</v>
      </c>
    </row>
    <row r="16" spans="3:40" ht="14.1" customHeight="1">
      <c r="E16" s="1" t="s">
        <v>3</v>
      </c>
      <c r="F16" t="s">
        <v>36</v>
      </c>
      <c r="AC16" s="4" t="s">
        <v>37</v>
      </c>
      <c r="AD16" s="1" t="s">
        <v>11</v>
      </c>
      <c r="AE16" s="24">
        <v>715</v>
      </c>
      <c r="AF16" s="24"/>
      <c r="AG16" s="24"/>
      <c r="AH16" t="s">
        <v>1</v>
      </c>
    </row>
    <row r="17" spans="5:42" ht="14.1" customHeight="1"/>
    <row r="18" spans="5:42" ht="14.1" customHeight="1">
      <c r="E18" s="1" t="s">
        <v>3</v>
      </c>
      <c r="F18" t="s">
        <v>31</v>
      </c>
      <c r="AC18" s="4" t="s">
        <v>33</v>
      </c>
      <c r="AD18" s="1" t="s">
        <v>11</v>
      </c>
      <c r="AE18" s="24">
        <v>380</v>
      </c>
      <c r="AF18" s="24"/>
      <c r="AG18" s="24"/>
      <c r="AH18" t="s">
        <v>1</v>
      </c>
    </row>
    <row r="19" spans="5:42" ht="14.1" customHeight="1">
      <c r="E19" s="1" t="s">
        <v>3</v>
      </c>
      <c r="F19" t="s">
        <v>32</v>
      </c>
      <c r="AC19" s="4" t="s">
        <v>34</v>
      </c>
      <c r="AD19" s="1" t="s">
        <v>11</v>
      </c>
      <c r="AE19" s="24">
        <v>600</v>
      </c>
      <c r="AF19" s="24"/>
      <c r="AG19" s="24"/>
      <c r="AH19" t="s">
        <v>1</v>
      </c>
    </row>
    <row r="20" spans="5:42" ht="14.1" customHeight="1">
      <c r="E20" s="1" t="s">
        <v>3</v>
      </c>
      <c r="F20" t="s">
        <v>35</v>
      </c>
      <c r="AC20" s="4" t="s">
        <v>38</v>
      </c>
      <c r="AD20" s="1" t="s">
        <v>11</v>
      </c>
      <c r="AE20" s="24">
        <v>850</v>
      </c>
      <c r="AF20" s="24"/>
      <c r="AG20" s="24"/>
      <c r="AH20" t="s">
        <v>1</v>
      </c>
    </row>
    <row r="21" spans="5:42" ht="14.1" customHeight="1">
      <c r="E21" s="1" t="s">
        <v>3</v>
      </c>
      <c r="F21" t="s">
        <v>35</v>
      </c>
      <c r="AC21" s="4" t="s">
        <v>39</v>
      </c>
      <c r="AD21" s="1" t="s">
        <v>11</v>
      </c>
      <c r="AE21" s="24">
        <v>2040</v>
      </c>
      <c r="AF21" s="24"/>
      <c r="AG21" s="24"/>
      <c r="AH21" t="s">
        <v>1</v>
      </c>
    </row>
    <row r="22" spans="5:42" ht="14.1" customHeight="1"/>
    <row r="23" spans="5:42" ht="14.1" customHeight="1"/>
    <row r="24" spans="5:42" ht="14.1" customHeight="1"/>
    <row r="25" spans="5:42" ht="14.1" customHeight="1"/>
    <row r="26" spans="5:42" ht="14.1" customHeight="1"/>
    <row r="27" spans="5:42" ht="14.1" customHeight="1"/>
    <row r="28" spans="5:42" ht="14.1" customHeight="1">
      <c r="AO28">
        <v>2800</v>
      </c>
      <c r="AP28">
        <v>6300</v>
      </c>
    </row>
    <row r="29" spans="5:42" ht="14.1" customHeight="1"/>
    <row r="30" spans="5:42" ht="14.1" customHeight="1"/>
    <row r="31" spans="5:42" ht="14.1" customHeight="1"/>
    <row r="32" spans="5:42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spans="3:34" ht="14.1" customHeight="1"/>
    <row r="50" spans="3:34" ht="14.1" customHeight="1"/>
    <row r="51" spans="3:34" ht="14.1" customHeight="1"/>
    <row r="54" spans="3:34">
      <c r="C54" s="3" t="s">
        <v>8</v>
      </c>
    </row>
    <row r="56" spans="3:34">
      <c r="D56" s="1" t="s">
        <v>41</v>
      </c>
      <c r="E56" t="s">
        <v>40</v>
      </c>
    </row>
    <row r="57" spans="3:34">
      <c r="D57" s="1"/>
    </row>
    <row r="58" spans="3:34">
      <c r="D58" s="1"/>
      <c r="E58" s="1" t="s">
        <v>3</v>
      </c>
      <c r="F58" t="s">
        <v>44</v>
      </c>
    </row>
    <row r="59" spans="3:34">
      <c r="D59" s="1"/>
      <c r="E59" s="1"/>
    </row>
    <row r="60" spans="3:34">
      <c r="AC60" s="4" t="s">
        <v>43</v>
      </c>
      <c r="AD60" s="1" t="s">
        <v>11</v>
      </c>
      <c r="AE60" s="24">
        <v>72.331999999999994</v>
      </c>
      <c r="AF60" s="24"/>
      <c r="AG60" s="24"/>
      <c r="AH60" t="s">
        <v>45</v>
      </c>
    </row>
    <row r="61" spans="3:34">
      <c r="E61" s="1" t="s">
        <v>3</v>
      </c>
      <c r="F61" t="s">
        <v>46</v>
      </c>
      <c r="AD61" s="1"/>
      <c r="AE61" s="2"/>
      <c r="AF61" s="2"/>
      <c r="AG61" s="2"/>
    </row>
    <row r="62" spans="3:34">
      <c r="E62" s="1"/>
      <c r="AD62" s="1"/>
      <c r="AE62" s="2"/>
      <c r="AF62" s="2"/>
      <c r="AG62" s="2"/>
    </row>
    <row r="63" spans="3:34">
      <c r="AC63" s="4" t="s">
        <v>48</v>
      </c>
      <c r="AD63" s="1" t="s">
        <v>11</v>
      </c>
      <c r="AE63" s="24">
        <v>128.14699999999999</v>
      </c>
      <c r="AF63" s="24"/>
      <c r="AG63" s="24"/>
      <c r="AH63" t="s">
        <v>45</v>
      </c>
    </row>
    <row r="64" spans="3:34">
      <c r="E64" s="1" t="s">
        <v>3</v>
      </c>
      <c r="F64" t="s">
        <v>49</v>
      </c>
      <c r="AD64" s="1"/>
      <c r="AE64" s="2"/>
      <c r="AF64" s="2"/>
      <c r="AG64" s="2"/>
    </row>
    <row r="65" spans="5:34">
      <c r="E65" s="1"/>
      <c r="H65" t="s">
        <v>51</v>
      </c>
      <c r="I65" s="1" t="s">
        <v>11</v>
      </c>
      <c r="J65" s="39">
        <v>0.75</v>
      </c>
      <c r="K65" s="39"/>
      <c r="L65" s="39"/>
      <c r="AD65" s="1"/>
      <c r="AE65" s="2"/>
      <c r="AF65" s="2"/>
      <c r="AG65" s="2"/>
    </row>
    <row r="66" spans="5:34">
      <c r="H66" t="s">
        <v>52</v>
      </c>
      <c r="I66" s="1" t="s">
        <v>11</v>
      </c>
      <c r="J66" s="39"/>
      <c r="K66" s="39"/>
      <c r="L66" s="39"/>
      <c r="AC66" s="6" t="s">
        <v>50</v>
      </c>
      <c r="AD66" s="1" t="s">
        <v>11</v>
      </c>
      <c r="AE66" s="24">
        <f>J65*J66</f>
        <v>0</v>
      </c>
      <c r="AF66" s="24"/>
      <c r="AG66" s="24"/>
      <c r="AH66" t="s">
        <v>45</v>
      </c>
    </row>
    <row r="70" spans="5:34">
      <c r="E70" s="1" t="s">
        <v>3</v>
      </c>
      <c r="F70" t="s">
        <v>48</v>
      </c>
      <c r="H70" s="1" t="s">
        <v>11</v>
      </c>
      <c r="I70" s="24">
        <f>AE63</f>
        <v>128.14699999999999</v>
      </c>
      <c r="J70" s="24"/>
      <c r="K70" s="24"/>
      <c r="L70" t="s">
        <v>45</v>
      </c>
      <c r="N70" s="24" t="str">
        <f>IF(I70&gt;T70,"&gt;","&lt;")</f>
        <v>&gt;</v>
      </c>
      <c r="O70" s="24"/>
      <c r="P70" s="24"/>
      <c r="Q70" s="5" t="s">
        <v>47</v>
      </c>
      <c r="S70" s="1" t="s">
        <v>11</v>
      </c>
      <c r="T70" s="24">
        <f>AE66</f>
        <v>0</v>
      </c>
      <c r="U70" s="24"/>
      <c r="V70" s="24"/>
      <c r="W70" t="s">
        <v>45</v>
      </c>
    </row>
    <row r="71" spans="5:34">
      <c r="R71" t="str">
        <f>IF(I70&lt;T70,"∴ The Anchor Bolts are not required to Resist Shear !","∴ The Anchor Bolts are required to Resist Shear !")</f>
        <v>∴ The Anchor Bolts are required to Resist Shear !</v>
      </c>
    </row>
    <row r="97" spans="3:26">
      <c r="C97" s="3" t="s">
        <v>53</v>
      </c>
    </row>
    <row r="99" spans="3:26">
      <c r="D99" s="3" t="s">
        <v>54</v>
      </c>
    </row>
    <row r="101" spans="3:26">
      <c r="E101" t="s">
        <v>59</v>
      </c>
      <c r="F101" t="s">
        <v>60</v>
      </c>
      <c r="I101" t="s">
        <v>10</v>
      </c>
      <c r="J101" t="s">
        <v>61</v>
      </c>
    </row>
    <row r="102" spans="3:26">
      <c r="I102" t="s">
        <v>10</v>
      </c>
      <c r="J102" s="24">
        <f>K104*K105*K107*K106/1000</f>
        <v>455.92363385221876</v>
      </c>
      <c r="K102" s="24"/>
      <c r="L102" s="24"/>
      <c r="M102" t="s">
        <v>45</v>
      </c>
      <c r="O102" t="str">
        <f>IF(J102&gt;T102,"&gt;","&lt;")</f>
        <v>&gt;</v>
      </c>
      <c r="Q102" t="s">
        <v>43</v>
      </c>
      <c r="S102" s="1" t="s">
        <v>11</v>
      </c>
      <c r="T102" s="24">
        <f>$AE$60</f>
        <v>72.331999999999994</v>
      </c>
      <c r="U102" s="24"/>
      <c r="V102" s="24"/>
      <c r="W102" t="s">
        <v>45</v>
      </c>
      <c r="Y102" s="25" t="str">
        <f>IF(J102&gt;T102,"O.K !","N.G !")</f>
        <v>O.K !</v>
      </c>
      <c r="Z102" s="25"/>
    </row>
    <row r="103" spans="3:26">
      <c r="E103" t="s">
        <v>69</v>
      </c>
    </row>
    <row r="104" spans="3:26">
      <c r="F104" t="s">
        <v>59</v>
      </c>
      <c r="G104" s="24" t="s">
        <v>51</v>
      </c>
      <c r="H104" s="24"/>
      <c r="I104" s="24"/>
      <c r="J104" t="s">
        <v>10</v>
      </c>
      <c r="K104" s="24">
        <v>0.75</v>
      </c>
      <c r="L104" s="24"/>
      <c r="M104" s="24"/>
    </row>
    <row r="105" spans="3:26">
      <c r="F105" t="s">
        <v>59</v>
      </c>
      <c r="G105" s="24" t="s">
        <v>62</v>
      </c>
      <c r="H105" s="24"/>
      <c r="I105" s="24"/>
      <c r="J105" t="s">
        <v>10</v>
      </c>
      <c r="K105" s="24">
        <v>1</v>
      </c>
      <c r="L105" s="24"/>
      <c r="M105" s="24"/>
      <c r="N105" t="s">
        <v>65</v>
      </c>
      <c r="Q105" t="s">
        <v>66</v>
      </c>
    </row>
    <row r="106" spans="3:26">
      <c r="F106" t="s">
        <v>59</v>
      </c>
      <c r="G106" s="24" t="s">
        <v>24</v>
      </c>
      <c r="H106" s="24"/>
      <c r="I106" s="24"/>
      <c r="J106" t="s">
        <v>10</v>
      </c>
      <c r="K106" s="24">
        <f>MIN(1.9*AE14,AE15)</f>
        <v>860</v>
      </c>
      <c r="L106" s="24"/>
      <c r="M106" s="24"/>
      <c r="N106" t="s">
        <v>67</v>
      </c>
      <c r="Q106" t="s">
        <v>64</v>
      </c>
    </row>
    <row r="107" spans="3:26">
      <c r="F107" t="s">
        <v>59</v>
      </c>
      <c r="G107" s="24" t="s">
        <v>63</v>
      </c>
      <c r="H107" s="24"/>
      <c r="I107" s="24"/>
      <c r="J107" t="s">
        <v>10</v>
      </c>
      <c r="K107" s="24">
        <f>AE12</f>
        <v>706.85834705770344</v>
      </c>
      <c r="L107" s="24"/>
      <c r="M107" s="24"/>
      <c r="N107" t="s">
        <v>68</v>
      </c>
    </row>
    <row r="109" spans="3:26">
      <c r="D109" s="3" t="s">
        <v>70</v>
      </c>
    </row>
    <row r="111" spans="3:26">
      <c r="E111" t="s">
        <v>59</v>
      </c>
      <c r="F111" t="s">
        <v>71</v>
      </c>
      <c r="I111" t="s">
        <v>10</v>
      </c>
      <c r="J111" t="s">
        <v>72</v>
      </c>
    </row>
    <row r="112" spans="3:26">
      <c r="I112" t="s">
        <v>10</v>
      </c>
      <c r="J112" s="24">
        <f>K114*K116/K118*K120*K121*K122*K124</f>
        <v>375.86694753870063</v>
      </c>
      <c r="K112" s="24"/>
      <c r="L112" s="24"/>
      <c r="M112" t="s">
        <v>45</v>
      </c>
      <c r="O112" t="str">
        <f>IF(J112&gt;T112,"&gt;","&lt;")</f>
        <v>&gt;</v>
      </c>
      <c r="Q112" t="s">
        <v>43</v>
      </c>
      <c r="S112" s="1" t="s">
        <v>11</v>
      </c>
      <c r="T112" s="24">
        <f>$AE$60</f>
        <v>72.331999999999994</v>
      </c>
      <c r="U112" s="24"/>
      <c r="V112" s="24"/>
      <c r="W112" t="s">
        <v>45</v>
      </c>
      <c r="Y112" s="25" t="str">
        <f>IF(J112&gt;T112,"O.K !","N.G !")</f>
        <v>O.K !</v>
      </c>
      <c r="Z112" s="25"/>
    </row>
    <row r="113" spans="5:40">
      <c r="E113" t="s">
        <v>69</v>
      </c>
    </row>
    <row r="114" spans="5:40">
      <c r="F114" t="s">
        <v>59</v>
      </c>
      <c r="G114" s="24" t="s">
        <v>51</v>
      </c>
      <c r="H114" s="24"/>
      <c r="I114" s="24"/>
      <c r="J114" t="s">
        <v>10</v>
      </c>
      <c r="K114" s="24">
        <v>0.75</v>
      </c>
      <c r="L114" s="24"/>
      <c r="M114" s="24"/>
      <c r="AN114" t="s">
        <v>84</v>
      </c>
    </row>
    <row r="115" spans="5:40">
      <c r="F115" t="s">
        <v>59</v>
      </c>
      <c r="G115" s="24" t="s">
        <v>73</v>
      </c>
      <c r="H115" s="24"/>
      <c r="I115" s="24"/>
      <c r="J115" t="s">
        <v>10</v>
      </c>
      <c r="K115" t="s">
        <v>79</v>
      </c>
    </row>
    <row r="116" spans="5:40">
      <c r="G116" s="2"/>
      <c r="H116" s="2"/>
      <c r="I116" s="2"/>
      <c r="K116" s="37">
        <f>(AE18+1.5*K126)*(2*1.5*K126)</f>
        <v>3115612.5</v>
      </c>
      <c r="L116" s="37"/>
      <c r="M116" s="37"/>
      <c r="N116" t="s">
        <v>18</v>
      </c>
    </row>
    <row r="117" spans="5:40">
      <c r="F117" t="s">
        <v>59</v>
      </c>
      <c r="G117" s="24" t="s">
        <v>74</v>
      </c>
      <c r="H117" s="24"/>
      <c r="I117" s="24"/>
      <c r="J117" t="s">
        <v>10</v>
      </c>
      <c r="K117" t="s">
        <v>80</v>
      </c>
    </row>
    <row r="118" spans="5:40">
      <c r="G118" s="2"/>
      <c r="H118" s="2"/>
      <c r="I118" s="2"/>
      <c r="K118" s="37">
        <f>9*K126^2</f>
        <v>4601025</v>
      </c>
      <c r="L118" s="37"/>
      <c r="M118" s="37"/>
      <c r="N118" t="s">
        <v>18</v>
      </c>
    </row>
    <row r="119" spans="5:40">
      <c r="F119" t="s">
        <v>59</v>
      </c>
      <c r="G119" s="36" t="s">
        <v>75</v>
      </c>
      <c r="H119" s="24"/>
      <c r="I119" s="24"/>
      <c r="J119" t="s">
        <v>10</v>
      </c>
      <c r="K119" t="s">
        <v>83</v>
      </c>
    </row>
    <row r="120" spans="5:40">
      <c r="G120" s="7"/>
      <c r="H120" s="2"/>
      <c r="I120" s="2"/>
      <c r="J120" t="s">
        <v>10</v>
      </c>
      <c r="K120" s="24">
        <f>IF(AE18&lt;1.5*K126,0.7+0.3*AE18/1.5/K126,1)</f>
        <v>0.80629370629370622</v>
      </c>
      <c r="L120" s="24"/>
      <c r="M120" s="24"/>
    </row>
    <row r="121" spans="5:40">
      <c r="F121" t="s">
        <v>59</v>
      </c>
      <c r="G121" s="36" t="s">
        <v>78</v>
      </c>
      <c r="H121" s="24"/>
      <c r="I121" s="24"/>
      <c r="J121" t="s">
        <v>10</v>
      </c>
      <c r="K121" s="30">
        <v>1.4</v>
      </c>
      <c r="L121" s="30"/>
      <c r="M121" s="30"/>
      <c r="O121" s="9" t="s">
        <v>86</v>
      </c>
    </row>
    <row r="122" spans="5:40">
      <c r="F122" t="s">
        <v>59</v>
      </c>
      <c r="G122" s="38" t="s">
        <v>76</v>
      </c>
      <c r="H122" s="24"/>
      <c r="I122" s="24"/>
      <c r="J122" t="s">
        <v>10</v>
      </c>
      <c r="K122" s="24">
        <v>1</v>
      </c>
      <c r="L122" s="24"/>
      <c r="M122" s="24"/>
    </row>
    <row r="123" spans="5:40" ht="18">
      <c r="F123" t="s">
        <v>59</v>
      </c>
      <c r="G123" s="33" t="s">
        <v>77</v>
      </c>
      <c r="H123" s="24"/>
      <c r="I123" s="24"/>
      <c r="J123" t="s">
        <v>10</v>
      </c>
      <c r="K123" t="s">
        <v>89</v>
      </c>
      <c r="T123" s="34" t="s">
        <v>85</v>
      </c>
      <c r="U123" s="34"/>
      <c r="V123" s="9" t="s">
        <v>55</v>
      </c>
      <c r="W123" s="35">
        <v>7</v>
      </c>
      <c r="X123" s="35"/>
      <c r="Y123" s="35"/>
      <c r="Z123" s="9"/>
      <c r="AA123" s="9" t="str">
        <f>IF(W123=10,"Cast-in Anchor)","Post-in Anchor)")</f>
        <v>Post-in Anchor)</v>
      </c>
      <c r="AB123" s="9"/>
    </row>
    <row r="124" spans="5:40">
      <c r="G124" s="36"/>
      <c r="H124" s="24"/>
      <c r="I124" s="24"/>
      <c r="J124" t="s">
        <v>10</v>
      </c>
      <c r="K124" s="24">
        <f>W123*AE7^0.5*K126^1.5/1000</f>
        <v>655.63589666826454</v>
      </c>
      <c r="L124" s="24"/>
      <c r="M124" s="24"/>
      <c r="N124" t="s">
        <v>45</v>
      </c>
    </row>
    <row r="125" spans="5:40">
      <c r="F125" t="s">
        <v>59</v>
      </c>
      <c r="G125" s="33" t="s">
        <v>81</v>
      </c>
      <c r="H125" s="24"/>
      <c r="I125" s="24"/>
      <c r="J125" t="s">
        <v>10</v>
      </c>
      <c r="K125" t="s">
        <v>82</v>
      </c>
    </row>
    <row r="126" spans="5:40">
      <c r="J126" t="s">
        <v>10</v>
      </c>
      <c r="K126" s="24">
        <f>MAX(MAX(AE18,AE19)/1.5,AE16)</f>
        <v>715</v>
      </c>
      <c r="L126" s="24"/>
      <c r="M126" s="24"/>
      <c r="N126" t="s">
        <v>1</v>
      </c>
    </row>
    <row r="139" spans="4:26">
      <c r="D139" s="3" t="s">
        <v>90</v>
      </c>
    </row>
    <row r="141" spans="4:26">
      <c r="E141" t="s">
        <v>59</v>
      </c>
      <c r="F141" t="s">
        <v>91</v>
      </c>
      <c r="I141" t="s">
        <v>10</v>
      </c>
      <c r="J141" t="s">
        <v>92</v>
      </c>
    </row>
    <row r="142" spans="4:26">
      <c r="I142" t="s">
        <v>10</v>
      </c>
      <c r="J142" s="24">
        <f>K144*K145*K147</f>
        <v>227.00159999999997</v>
      </c>
      <c r="K142" s="24"/>
      <c r="L142" s="24"/>
      <c r="M142" t="s">
        <v>45</v>
      </c>
      <c r="O142" t="str">
        <f>IF(J142&gt;T142,"&gt;","&lt;")</f>
        <v>&gt;</v>
      </c>
      <c r="Q142" t="s">
        <v>43</v>
      </c>
      <c r="S142" s="1" t="s">
        <v>11</v>
      </c>
      <c r="T142" s="24">
        <f>$AE$60</f>
        <v>72.331999999999994</v>
      </c>
      <c r="U142" s="24"/>
      <c r="V142" s="24"/>
      <c r="W142" t="s">
        <v>45</v>
      </c>
      <c r="Y142" s="25" t="str">
        <f>IF(J142&gt;T142,"O.K !","N.G !")</f>
        <v>O.K !</v>
      </c>
      <c r="Z142" s="25"/>
    </row>
    <row r="143" spans="4:26">
      <c r="E143" t="s">
        <v>69</v>
      </c>
    </row>
    <row r="144" spans="4:26">
      <c r="F144" t="s">
        <v>59</v>
      </c>
      <c r="G144" s="28" t="s">
        <v>56</v>
      </c>
      <c r="H144" s="28"/>
      <c r="I144" s="28"/>
      <c r="J144" t="s">
        <v>10</v>
      </c>
      <c r="K144" s="24">
        <v>0.75</v>
      </c>
      <c r="L144" s="24"/>
      <c r="M144" s="24"/>
    </row>
    <row r="145" spans="4:29" ht="18">
      <c r="F145" t="s">
        <v>59</v>
      </c>
      <c r="G145" s="28" t="s">
        <v>93</v>
      </c>
      <c r="H145" s="28"/>
      <c r="I145" s="28"/>
      <c r="J145" t="s">
        <v>10</v>
      </c>
      <c r="K145" s="30">
        <v>1.4</v>
      </c>
      <c r="L145" s="30"/>
      <c r="M145" s="30"/>
      <c r="O145" t="s">
        <v>96</v>
      </c>
    </row>
    <row r="146" spans="4:29" ht="18">
      <c r="F146" t="s">
        <v>59</v>
      </c>
      <c r="G146" s="28" t="s">
        <v>94</v>
      </c>
      <c r="H146" s="28"/>
      <c r="I146" s="28"/>
      <c r="J146" t="s">
        <v>10</v>
      </c>
      <c r="K146" t="str">
        <f>IF(AE9="선설치 갈고리 볼트","0.9 x f'c x DBolt x eh","8 x Abrg x f'c")</f>
        <v>8 x Abrg x f'c</v>
      </c>
    </row>
    <row r="147" spans="4:29">
      <c r="J147" t="s">
        <v>10</v>
      </c>
      <c r="K147" s="24">
        <f>IF(AE9="선설치 갈고리 볼트",0.9*AE7*AE10*K148/1000,8*AE13*AE7/1000)</f>
        <v>216.19200000000001</v>
      </c>
      <c r="L147" s="24"/>
      <c r="M147" s="24"/>
      <c r="N147" t="s">
        <v>45</v>
      </c>
    </row>
    <row r="148" spans="4:29" ht="18">
      <c r="F148" t="s">
        <v>59</v>
      </c>
      <c r="G148" s="28" t="s">
        <v>95</v>
      </c>
      <c r="H148" s="28"/>
      <c r="I148" s="28"/>
      <c r="J148" t="s">
        <v>10</v>
      </c>
      <c r="K148" s="30"/>
      <c r="L148" s="30"/>
      <c r="M148" s="30"/>
      <c r="N148" t="s">
        <v>1</v>
      </c>
      <c r="P148" t="s">
        <v>97</v>
      </c>
    </row>
    <row r="151" spans="4:29">
      <c r="D151" s="3" t="s">
        <v>98</v>
      </c>
    </row>
    <row r="153" spans="4:29">
      <c r="E153" t="s">
        <v>59</v>
      </c>
      <c r="F153" s="3" t="str">
        <f>IF(J154&gt;X154,"Not applicable as","Side Face Blow Out check Required")</f>
        <v>Not applicable as</v>
      </c>
    </row>
    <row r="154" spans="4:29" ht="18">
      <c r="F154" s="28" t="s">
        <v>100</v>
      </c>
      <c r="G154" s="28"/>
      <c r="H154" s="28"/>
      <c r="I154" s="10" t="s">
        <v>58</v>
      </c>
      <c r="J154" s="31">
        <f>2.5*AE18</f>
        <v>950</v>
      </c>
      <c r="K154" s="31"/>
      <c r="L154" s="31"/>
      <c r="M154" s="31"/>
      <c r="N154" s="11" t="s">
        <v>99</v>
      </c>
      <c r="O154" s="11"/>
      <c r="P154" s="11"/>
      <c r="Q154" s="32" t="str">
        <f>IF(J154&gt;X154,"&gt;","&lt;")</f>
        <v>&gt;</v>
      </c>
      <c r="R154" s="32"/>
      <c r="S154" s="11"/>
      <c r="T154" s="28" t="s">
        <v>101</v>
      </c>
      <c r="U154" s="28"/>
      <c r="V154" s="28"/>
      <c r="W154" s="11" t="s">
        <v>58</v>
      </c>
      <c r="X154" s="31">
        <f>AE16</f>
        <v>715</v>
      </c>
      <c r="Y154" s="31"/>
      <c r="Z154" s="31"/>
      <c r="AA154" s="31"/>
      <c r="AB154" s="11" t="s">
        <v>99</v>
      </c>
      <c r="AC154" s="11"/>
    </row>
    <row r="156" spans="4:29">
      <c r="E156" t="s">
        <v>59</v>
      </c>
      <c r="F156" t="s">
        <v>102</v>
      </c>
      <c r="I156" t="s">
        <v>10</v>
      </c>
      <c r="J156" t="str">
        <f>IF(AL162=1,"Ф x 13 x c1 x √(Abrg) x √(f'c) x ( 1 + c2 / c1) / 4","Ф x 13 x c1 x √(Abrg) x √(f'c)")</f>
        <v>Ф x 13 x c1 x √(Abrg) x √(f'c) x ( 1 + c2 / c1) / 4</v>
      </c>
    </row>
    <row r="157" spans="4:29">
      <c r="I157" t="s">
        <v>10</v>
      </c>
      <c r="J157" s="24">
        <f>IF(AL162=1,K159*13*AE18*K160^0.5*K161^0.5*(1+K162)/4/1000,K159*13*AE18*K160^0.5*K161^0.5/1000)</f>
        <v>392.68608865733961</v>
      </c>
      <c r="K157" s="24"/>
      <c r="L157" s="24"/>
      <c r="M157" t="s">
        <v>45</v>
      </c>
      <c r="O157" t="str">
        <f>IF(J157&gt;T157,"&gt;","&lt;")</f>
        <v>&gt;</v>
      </c>
      <c r="Q157" t="s">
        <v>43</v>
      </c>
      <c r="S157" s="1" t="s">
        <v>11</v>
      </c>
      <c r="T157" s="24">
        <f>$AE$60</f>
        <v>72.331999999999994</v>
      </c>
      <c r="U157" s="24"/>
      <c r="V157" s="24"/>
      <c r="W157" t="s">
        <v>45</v>
      </c>
      <c r="Y157" s="25" t="str">
        <f>IF(J157&gt;T157,"O.K !","N.G !")</f>
        <v>O.K !</v>
      </c>
      <c r="Z157" s="25"/>
    </row>
    <row r="158" spans="4:29">
      <c r="E158" t="s">
        <v>69</v>
      </c>
    </row>
    <row r="159" spans="4:29">
      <c r="F159" t="s">
        <v>59</v>
      </c>
      <c r="G159" s="28" t="s">
        <v>56</v>
      </c>
      <c r="H159" s="28"/>
      <c r="I159" s="28"/>
      <c r="J159" t="s">
        <v>10</v>
      </c>
      <c r="K159" s="24">
        <v>0.75</v>
      </c>
      <c r="L159" s="24"/>
      <c r="M159" s="24"/>
    </row>
    <row r="160" spans="4:29" ht="18">
      <c r="F160" t="s">
        <v>59</v>
      </c>
      <c r="G160" s="28" t="s">
        <v>103</v>
      </c>
      <c r="H160" s="28"/>
      <c r="I160" s="28"/>
      <c r="J160" t="s">
        <v>10</v>
      </c>
      <c r="K160" s="24">
        <f>AE13</f>
        <v>1126</v>
      </c>
      <c r="L160" s="24"/>
      <c r="M160" s="24"/>
      <c r="N160" t="s">
        <v>1</v>
      </c>
    </row>
    <row r="161" spans="4:38" ht="17.25" thickBot="1">
      <c r="F161" t="s">
        <v>59</v>
      </c>
      <c r="G161" s="28" t="s">
        <v>105</v>
      </c>
      <c r="H161" s="28"/>
      <c r="I161" s="28"/>
      <c r="J161" t="s">
        <v>10</v>
      </c>
      <c r="K161" s="24">
        <f>AE7</f>
        <v>24</v>
      </c>
      <c r="L161" s="24"/>
      <c r="M161" s="24"/>
      <c r="N161" t="s">
        <v>106</v>
      </c>
    </row>
    <row r="162" spans="4:38" ht="18.75" thickBot="1">
      <c r="F162" t="s">
        <v>59</v>
      </c>
      <c r="G162" s="29" t="s">
        <v>104</v>
      </c>
      <c r="H162" s="29"/>
      <c r="I162" s="29"/>
      <c r="J162" t="s">
        <v>10</v>
      </c>
      <c r="K162" s="24">
        <f>AE19/AE18</f>
        <v>1.5789473684210527</v>
      </c>
      <c r="L162" s="24"/>
      <c r="M162" s="24"/>
      <c r="AL162" s="13">
        <f>IF(AND(1&lt;=K162,3&gt;=K162),1,0)</f>
        <v>1</v>
      </c>
    </row>
    <row r="165" spans="4:38">
      <c r="D165" s="3" t="s">
        <v>107</v>
      </c>
    </row>
    <row r="167" spans="4:38">
      <c r="E167" t="s">
        <v>59</v>
      </c>
      <c r="F167" t="s">
        <v>108</v>
      </c>
      <c r="I167" t="s">
        <v>10</v>
      </c>
      <c r="J167" t="s">
        <v>109</v>
      </c>
    </row>
    <row r="168" spans="4:38">
      <c r="I168" t="s">
        <v>10</v>
      </c>
      <c r="J168" s="24"/>
      <c r="K168" s="24"/>
      <c r="L168" s="24"/>
      <c r="M168" t="s">
        <v>45</v>
      </c>
      <c r="O168" t="str">
        <f>IF(J168&gt;T168,"&gt;","&lt;")</f>
        <v>&lt;</v>
      </c>
      <c r="Q168" t="s">
        <v>43</v>
      </c>
      <c r="S168" s="1" t="s">
        <v>11</v>
      </c>
      <c r="T168" s="24">
        <f>$AE$60</f>
        <v>72.331999999999994</v>
      </c>
      <c r="U168" s="24"/>
      <c r="V168" s="24"/>
      <c r="W168" t="s">
        <v>45</v>
      </c>
      <c r="Y168" s="25" t="str">
        <f>IF(J168&gt;T168,"O.K !","N.G !")</f>
        <v>N.G !</v>
      </c>
      <c r="Z168" s="25"/>
    </row>
    <row r="169" spans="4:38">
      <c r="E169" t="s">
        <v>69</v>
      </c>
    </row>
    <row r="170" spans="4:38">
      <c r="F170" t="s">
        <v>59</v>
      </c>
      <c r="G170" s="28" t="s">
        <v>56</v>
      </c>
      <c r="H170" s="28"/>
      <c r="I170" s="28"/>
    </row>
    <row r="171" spans="4:38" ht="18">
      <c r="F171" t="s">
        <v>59</v>
      </c>
      <c r="G171" s="28" t="s">
        <v>110</v>
      </c>
      <c r="H171" s="28"/>
      <c r="I171" s="28"/>
    </row>
    <row r="172" spans="4:38" ht="18">
      <c r="F172" t="s">
        <v>59</v>
      </c>
      <c r="G172" s="28" t="s">
        <v>111</v>
      </c>
      <c r="H172" s="28"/>
      <c r="I172" s="28"/>
    </row>
    <row r="173" spans="4:38" ht="18">
      <c r="F173" t="s">
        <v>59</v>
      </c>
      <c r="G173" s="28" t="s">
        <v>112</v>
      </c>
      <c r="H173" s="28"/>
      <c r="I173" s="28"/>
    </row>
    <row r="174" spans="4:38" ht="18">
      <c r="F174" t="s">
        <v>59</v>
      </c>
      <c r="G174" s="28" t="s">
        <v>113</v>
      </c>
      <c r="H174" s="28"/>
      <c r="I174" s="28"/>
    </row>
    <row r="175" spans="4:38" ht="18">
      <c r="F175" t="s">
        <v>59</v>
      </c>
      <c r="G175" s="28" t="s">
        <v>114</v>
      </c>
      <c r="H175" s="28"/>
      <c r="I175" s="28"/>
    </row>
    <row r="176" spans="4:38" ht="18">
      <c r="F176" t="s">
        <v>59</v>
      </c>
      <c r="G176" s="28" t="s">
        <v>115</v>
      </c>
      <c r="H176" s="28"/>
      <c r="I176" s="28"/>
    </row>
    <row r="177" spans="3:26" ht="18">
      <c r="F177" t="s">
        <v>59</v>
      </c>
      <c r="G177" s="28" t="s">
        <v>116</v>
      </c>
      <c r="H177" s="28"/>
      <c r="I177" s="28"/>
    </row>
    <row r="178" spans="3:26" ht="18">
      <c r="F178" t="s">
        <v>59</v>
      </c>
      <c r="G178" s="28" t="s">
        <v>117</v>
      </c>
      <c r="H178" s="28"/>
      <c r="I178" s="28"/>
    </row>
    <row r="182" spans="3:26">
      <c r="C182" s="3" t="s">
        <v>118</v>
      </c>
    </row>
    <row r="184" spans="3:26">
      <c r="D184" s="3" t="s">
        <v>119</v>
      </c>
    </row>
    <row r="186" spans="3:26">
      <c r="E186" t="s">
        <v>59</v>
      </c>
      <c r="F186" t="s">
        <v>120</v>
      </c>
      <c r="I186" t="s">
        <v>10</v>
      </c>
      <c r="J186" t="s">
        <v>121</v>
      </c>
      <c r="M186" t="s">
        <v>122</v>
      </c>
    </row>
    <row r="187" spans="3:26">
      <c r="I187" t="s">
        <v>10</v>
      </c>
      <c r="J187" s="24">
        <f>K189*K190*K191*K192/1000</f>
        <v>455.92363385221876</v>
      </c>
      <c r="K187" s="24"/>
      <c r="L187" s="24"/>
      <c r="M187" t="s">
        <v>45</v>
      </c>
      <c r="O187" t="str">
        <f>IF(J187&gt;T187,"&gt;","&lt;")</f>
        <v>&gt;</v>
      </c>
      <c r="Q187" t="s">
        <v>48</v>
      </c>
      <c r="S187" s="1" t="s">
        <v>11</v>
      </c>
      <c r="T187" s="24">
        <f>$AE$63</f>
        <v>128.14699999999999</v>
      </c>
      <c r="U187" s="24"/>
      <c r="V187" s="24"/>
      <c r="W187" t="s">
        <v>45</v>
      </c>
      <c r="Y187" s="25" t="str">
        <f>IF(J187&gt;T187,"O.K !","N.G !")</f>
        <v>O.K !</v>
      </c>
      <c r="Z187" s="25"/>
    </row>
    <row r="188" spans="3:26">
      <c r="E188" t="s">
        <v>69</v>
      </c>
    </row>
    <row r="189" spans="3:26">
      <c r="F189" t="s">
        <v>59</v>
      </c>
      <c r="G189" s="28" t="s">
        <v>56</v>
      </c>
      <c r="H189" s="28"/>
      <c r="I189" s="28"/>
      <c r="J189" s="8" t="s">
        <v>55</v>
      </c>
      <c r="K189" s="24">
        <v>0.75</v>
      </c>
      <c r="L189" s="24"/>
      <c r="M189" s="24"/>
    </row>
    <row r="190" spans="3:26">
      <c r="F190" t="s">
        <v>59</v>
      </c>
      <c r="G190" s="28" t="s">
        <v>57</v>
      </c>
      <c r="H190" s="28"/>
      <c r="I190" s="28"/>
      <c r="J190" s="10" t="s">
        <v>58</v>
      </c>
      <c r="K190" s="24">
        <v>1</v>
      </c>
      <c r="L190" s="24"/>
      <c r="M190" s="24"/>
    </row>
    <row r="191" spans="3:26" ht="18">
      <c r="F191" t="s">
        <v>59</v>
      </c>
      <c r="G191" s="28" t="s">
        <v>123</v>
      </c>
      <c r="H191" s="28"/>
      <c r="I191" s="28"/>
      <c r="J191" s="10" t="s">
        <v>58</v>
      </c>
      <c r="K191" s="24">
        <f>MIN(1.9*AE14,AE15)</f>
        <v>860</v>
      </c>
      <c r="L191" s="24"/>
      <c r="M191" s="24"/>
      <c r="N191" t="s">
        <v>67</v>
      </c>
      <c r="Q191" t="s">
        <v>64</v>
      </c>
    </row>
    <row r="192" spans="3:26" ht="18">
      <c r="F192" t="s">
        <v>59</v>
      </c>
      <c r="G192" s="28" t="s">
        <v>124</v>
      </c>
      <c r="H192" s="28"/>
      <c r="I192" s="28"/>
      <c r="J192" s="8" t="s">
        <v>58</v>
      </c>
      <c r="K192" s="24">
        <f>AE12</f>
        <v>706.85834705770344</v>
      </c>
      <c r="L192" s="24"/>
      <c r="M192" s="24"/>
      <c r="N192" t="s">
        <v>18</v>
      </c>
    </row>
    <row r="195" spans="4:26">
      <c r="D195" s="3" t="s">
        <v>125</v>
      </c>
    </row>
    <row r="197" spans="4:26">
      <c r="E197" t="s">
        <v>59</v>
      </c>
      <c r="F197" t="s">
        <v>126</v>
      </c>
      <c r="I197" t="s">
        <v>10</v>
      </c>
      <c r="J197" t="s">
        <v>127</v>
      </c>
    </row>
    <row r="198" spans="4:26">
      <c r="I198" t="s">
        <v>10</v>
      </c>
      <c r="J198" s="24">
        <f>K200*K202/K204*K206*K207*K209*K216</f>
        <v>140.9847176569148</v>
      </c>
      <c r="K198" s="24"/>
      <c r="L198" s="24"/>
      <c r="M198" t="s">
        <v>45</v>
      </c>
      <c r="O198" t="str">
        <f>IF(J198&gt;T198,"&gt;","&lt;")</f>
        <v>&gt;</v>
      </c>
      <c r="Q198" t="s">
        <v>48</v>
      </c>
      <c r="S198" s="1" t="s">
        <v>11</v>
      </c>
      <c r="T198" s="24">
        <f>$AE$63</f>
        <v>128.14699999999999</v>
      </c>
      <c r="U198" s="24"/>
      <c r="V198" s="24"/>
      <c r="W198" t="s">
        <v>45</v>
      </c>
      <c r="Y198" s="25" t="str">
        <f>IF(J198&gt;T198,"O.K !","N.G !")</f>
        <v>O.K !</v>
      </c>
      <c r="Z198" s="25"/>
    </row>
    <row r="199" spans="4:26">
      <c r="E199" t="s">
        <v>69</v>
      </c>
    </row>
    <row r="200" spans="4:26">
      <c r="F200" t="s">
        <v>59</v>
      </c>
      <c r="G200" s="28" t="s">
        <v>56</v>
      </c>
      <c r="H200" s="28"/>
      <c r="I200" s="28"/>
      <c r="J200" s="8" t="s">
        <v>55</v>
      </c>
      <c r="K200" s="24">
        <v>0.75</v>
      </c>
      <c r="L200" s="24"/>
      <c r="M200" s="24"/>
    </row>
    <row r="201" spans="4:26" ht="18">
      <c r="F201" t="s">
        <v>59</v>
      </c>
      <c r="G201" s="28" t="s">
        <v>128</v>
      </c>
      <c r="H201" s="28"/>
      <c r="I201" s="28"/>
      <c r="J201" s="10" t="s">
        <v>58</v>
      </c>
      <c r="K201" t="str">
        <f>IF(AE19&lt;AE18*1.5,"1.5*c1*(1.5*c1+c2)","1.5*c1*(3*c1)")</f>
        <v>1.5*c1*(3*c1)</v>
      </c>
    </row>
    <row r="202" spans="4:26">
      <c r="F202" t="s">
        <v>59</v>
      </c>
      <c r="G202" s="14"/>
      <c r="H202" s="14"/>
      <c r="I202" s="14"/>
      <c r="J202" s="8" t="s">
        <v>58</v>
      </c>
      <c r="K202" s="24">
        <f>IF(AE19&lt;AE18*1.5,1.5*AE18*(1.5*AE18+AE19),1.5*AE18*(3*AE18))</f>
        <v>649800</v>
      </c>
      <c r="L202" s="24"/>
      <c r="M202" s="24"/>
      <c r="N202" t="s">
        <v>18</v>
      </c>
    </row>
    <row r="203" spans="4:26" ht="18">
      <c r="F203" t="s">
        <v>59</v>
      </c>
      <c r="G203" s="28" t="s">
        <v>129</v>
      </c>
      <c r="H203" s="28"/>
      <c r="I203" s="28"/>
      <c r="J203" s="10" t="s">
        <v>58</v>
      </c>
      <c r="K203" t="s">
        <v>137</v>
      </c>
    </row>
    <row r="204" spans="4:26">
      <c r="G204" s="10"/>
      <c r="H204" s="10"/>
      <c r="I204" s="10"/>
      <c r="J204" s="10" t="s">
        <v>58</v>
      </c>
      <c r="K204" s="24">
        <f>4.5*AE18^2</f>
        <v>649800</v>
      </c>
      <c r="L204" s="24"/>
      <c r="M204" s="24"/>
      <c r="N204" t="s">
        <v>18</v>
      </c>
    </row>
    <row r="205" spans="4:26" ht="18">
      <c r="G205" s="28" t="s">
        <v>130</v>
      </c>
      <c r="H205" s="28"/>
      <c r="I205" s="28"/>
      <c r="J205" s="10" t="s">
        <v>58</v>
      </c>
      <c r="K205" t="s">
        <v>138</v>
      </c>
    </row>
    <row r="206" spans="4:26">
      <c r="G206" s="10"/>
      <c r="H206" s="10"/>
      <c r="I206" s="10"/>
      <c r="J206" s="8" t="s">
        <v>58</v>
      </c>
      <c r="K206" s="24">
        <f>IF(AE19&lt;1.5*AE18,0.7+0.3*(AE19/(1.5*AE18)),1)</f>
        <v>1</v>
      </c>
      <c r="L206" s="24"/>
      <c r="M206" s="24"/>
    </row>
    <row r="207" spans="4:26" ht="18">
      <c r="G207" s="28" t="s">
        <v>131</v>
      </c>
      <c r="H207" s="28"/>
      <c r="I207" s="28"/>
      <c r="J207" s="8" t="s">
        <v>55</v>
      </c>
      <c r="K207" s="30">
        <v>1.4</v>
      </c>
      <c r="L207" s="30"/>
      <c r="M207" s="30"/>
      <c r="O207" t="s">
        <v>96</v>
      </c>
    </row>
    <row r="208" spans="4:26" ht="18">
      <c r="G208" s="28" t="s">
        <v>132</v>
      </c>
      <c r="H208" s="28"/>
      <c r="I208" s="28"/>
      <c r="J208" s="8" t="s">
        <v>55</v>
      </c>
      <c r="K208" t="s">
        <v>139</v>
      </c>
    </row>
    <row r="209" spans="4:14">
      <c r="G209" s="10"/>
      <c r="H209" s="10"/>
      <c r="I209" s="10"/>
      <c r="J209" s="8" t="s">
        <v>55</v>
      </c>
      <c r="K209" s="24">
        <f>IF(K210&lt;1.5*AE18,SQRT(1.5*AE18/K210),1)</f>
        <v>1</v>
      </c>
      <c r="L209" s="24"/>
      <c r="M209" s="24"/>
    </row>
    <row r="210" spans="4:14" ht="18">
      <c r="G210" s="28" t="s">
        <v>133</v>
      </c>
      <c r="H210" s="28"/>
      <c r="I210" s="28"/>
      <c r="J210" s="10" t="s">
        <v>58</v>
      </c>
      <c r="K210" s="24">
        <f>AE6</f>
        <v>1150</v>
      </c>
      <c r="L210" s="24"/>
      <c r="M210" s="24"/>
      <c r="N210" t="s">
        <v>1</v>
      </c>
    </row>
    <row r="211" spans="4:14" ht="18">
      <c r="G211" s="28" t="s">
        <v>134</v>
      </c>
      <c r="H211" s="28"/>
      <c r="I211" s="28"/>
      <c r="J211" s="10" t="s">
        <v>58</v>
      </c>
      <c r="K211" t="s">
        <v>140</v>
      </c>
    </row>
    <row r="212" spans="4:14">
      <c r="G212" s="10"/>
      <c r="H212" s="10"/>
      <c r="I212" s="10"/>
      <c r="J212" s="10" t="s">
        <v>58</v>
      </c>
      <c r="K212" s="24">
        <f>(0.6*(AE16/AE10)^0.2*AE10^0.5*AE7^0.5*AE18^1.5)/1000</f>
        <v>224.86913584765767</v>
      </c>
      <c r="L212" s="24"/>
      <c r="M212" s="24"/>
      <c r="N212" t="s">
        <v>45</v>
      </c>
    </row>
    <row r="213" spans="4:14" ht="18">
      <c r="G213" s="28" t="s">
        <v>135</v>
      </c>
      <c r="H213" s="28"/>
      <c r="I213" s="28"/>
      <c r="J213" s="10" t="s">
        <v>58</v>
      </c>
      <c r="K213" t="s">
        <v>141</v>
      </c>
    </row>
    <row r="214" spans="4:14">
      <c r="G214" s="10"/>
      <c r="H214" s="10"/>
      <c r="I214" s="10"/>
      <c r="J214" s="10"/>
      <c r="K214" s="24">
        <f>3.7*AE7^0.5*AE18^1.5/1000</f>
        <v>134.27115967325221</v>
      </c>
      <c r="L214" s="24"/>
      <c r="M214" s="24"/>
      <c r="N214" t="s">
        <v>45</v>
      </c>
    </row>
    <row r="215" spans="4:14" ht="18">
      <c r="G215" s="28" t="s">
        <v>136</v>
      </c>
      <c r="H215" s="28"/>
      <c r="I215" s="28"/>
      <c r="J215" s="10" t="s">
        <v>58</v>
      </c>
      <c r="K215" t="s">
        <v>142</v>
      </c>
    </row>
    <row r="216" spans="4:14">
      <c r="G216" s="10"/>
      <c r="H216" s="10"/>
      <c r="I216" s="10"/>
      <c r="J216" s="10"/>
      <c r="K216" s="24">
        <f>MIN(K212,K214)</f>
        <v>134.27115967325221</v>
      </c>
      <c r="L216" s="24"/>
      <c r="M216" s="24"/>
      <c r="N216" t="s">
        <v>45</v>
      </c>
    </row>
    <row r="217" spans="4:14">
      <c r="G217" s="28" t="s">
        <v>105</v>
      </c>
      <c r="H217" s="28"/>
      <c r="I217" s="28"/>
      <c r="J217" s="10" t="s">
        <v>58</v>
      </c>
      <c r="K217" s="24">
        <f>AE7</f>
        <v>24</v>
      </c>
      <c r="L217" s="24"/>
      <c r="M217" s="24"/>
      <c r="N217" t="s">
        <v>21</v>
      </c>
    </row>
    <row r="223" spans="4:14">
      <c r="D223" s="3" t="s">
        <v>147</v>
      </c>
    </row>
    <row r="225" spans="5:26">
      <c r="E225" t="s">
        <v>59</v>
      </c>
      <c r="F225" t="s">
        <v>143</v>
      </c>
      <c r="I225" t="s">
        <v>10</v>
      </c>
      <c r="J225" t="s">
        <v>144</v>
      </c>
    </row>
    <row r="226" spans="5:26">
      <c r="I226" t="s">
        <v>10</v>
      </c>
      <c r="J226" s="24">
        <f>K228*K229*K230</f>
        <v>751.73389507740126</v>
      </c>
      <c r="K226" s="24"/>
      <c r="L226" s="24"/>
      <c r="M226" t="s">
        <v>45</v>
      </c>
      <c r="O226" t="str">
        <f>IF(J226&gt;T226,"&gt;","&lt;")</f>
        <v>&gt;</v>
      </c>
      <c r="Q226" t="s">
        <v>48</v>
      </c>
      <c r="S226" s="1" t="s">
        <v>11</v>
      </c>
      <c r="T226" s="24">
        <f>$AE$63</f>
        <v>128.14699999999999</v>
      </c>
      <c r="U226" s="24"/>
      <c r="V226" s="24"/>
      <c r="W226" t="s">
        <v>45</v>
      </c>
      <c r="Y226" s="25" t="str">
        <f>IF(J226&gt;T226,"O.K !","N.G !")</f>
        <v>O.K !</v>
      </c>
      <c r="Z226" s="25"/>
    </row>
    <row r="227" spans="5:26">
      <c r="E227" t="s">
        <v>69</v>
      </c>
    </row>
    <row r="228" spans="5:26">
      <c r="F228" t="s">
        <v>59</v>
      </c>
      <c r="G228" s="28" t="s">
        <v>56</v>
      </c>
      <c r="H228" s="28"/>
      <c r="I228" s="28"/>
      <c r="J228" s="8" t="s">
        <v>55</v>
      </c>
      <c r="K228" s="24">
        <v>0.75</v>
      </c>
      <c r="L228" s="24"/>
      <c r="M228" s="24"/>
    </row>
    <row r="229" spans="5:26" ht="18">
      <c r="F229" t="s">
        <v>59</v>
      </c>
      <c r="G229" s="28" t="s">
        <v>145</v>
      </c>
      <c r="H229" s="28"/>
      <c r="I229" s="28"/>
      <c r="J229" s="10" t="s">
        <v>58</v>
      </c>
      <c r="K229" s="24">
        <f>IF(AE16&gt;65,2,1)</f>
        <v>2</v>
      </c>
      <c r="L229" s="24"/>
      <c r="M229" s="24"/>
    </row>
    <row r="230" spans="5:26" ht="18">
      <c r="F230" t="s">
        <v>59</v>
      </c>
      <c r="G230" s="28" t="s">
        <v>146</v>
      </c>
      <c r="H230" s="28"/>
      <c r="I230" s="28"/>
      <c r="J230" s="12" t="s">
        <v>58</v>
      </c>
      <c r="K230" s="24">
        <f>J112/K114</f>
        <v>501.15593005160082</v>
      </c>
      <c r="L230" s="24"/>
      <c r="M230" s="24"/>
      <c r="N230" t="s">
        <v>45</v>
      </c>
    </row>
    <row r="265" spans="3:34">
      <c r="C265" s="3" t="s">
        <v>148</v>
      </c>
    </row>
    <row r="267" spans="3:34">
      <c r="E267" t="s">
        <v>69</v>
      </c>
    </row>
    <row r="268" spans="3:34" ht="18">
      <c r="G268" s="29" t="s">
        <v>152</v>
      </c>
      <c r="H268" s="29"/>
      <c r="I268" s="29"/>
      <c r="J268" s="12" t="s">
        <v>58</v>
      </c>
      <c r="K268" s="15" t="s">
        <v>160</v>
      </c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 t="s">
        <v>58</v>
      </c>
      <c r="W268" s="14"/>
      <c r="X268" s="24">
        <f>MIN(IF(J187&lt;&gt;0,J187,999999),IF(J198&lt;&gt;0,J189,999999),IF(J226&lt;&gt;0,J226,999999))</f>
        <v>455.92363385221876</v>
      </c>
      <c r="Y268" s="24"/>
      <c r="Z268" s="24"/>
      <c r="AA268" t="s">
        <v>45</v>
      </c>
    </row>
    <row r="269" spans="3:34" ht="18">
      <c r="G269" s="29" t="s">
        <v>149</v>
      </c>
      <c r="H269" s="29"/>
      <c r="I269" s="29"/>
      <c r="J269" s="12" t="s">
        <v>58</v>
      </c>
      <c r="K269" s="15" t="s">
        <v>161</v>
      </c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 t="s">
        <v>58</v>
      </c>
      <c r="W269" s="14"/>
      <c r="X269" s="24">
        <f>MIN(IF(J102&lt;&gt;0,J102,999999),IF(J112&lt;&gt;0,J112,999999),IF(J142&lt;&gt;0,J142,999999),IF(J157&lt;&gt;0,J157,999999),IF(J168&lt;&gt;0,J168,999999))</f>
        <v>227.00159999999997</v>
      </c>
      <c r="Y269" s="24"/>
      <c r="Z269" s="24"/>
      <c r="AA269" t="s">
        <v>45</v>
      </c>
    </row>
    <row r="271" spans="3:34">
      <c r="E271" t="s">
        <v>59</v>
      </c>
      <c r="F271" t="s">
        <v>153</v>
      </c>
      <c r="J271" s="3" t="str">
        <f>IF(Q273="&lt;", "Applicable Case","Not Applicable Case")</f>
        <v>Not Applicable Case</v>
      </c>
    </row>
    <row r="272" spans="3:34">
      <c r="F272" t="s">
        <v>154</v>
      </c>
      <c r="I272" t="s">
        <v>155</v>
      </c>
      <c r="J272" t="s">
        <v>164</v>
      </c>
      <c r="M272" t="s">
        <v>157</v>
      </c>
      <c r="AB272" s="4"/>
      <c r="AC272"/>
      <c r="AD272" s="5"/>
      <c r="AE272" t="s">
        <v>158</v>
      </c>
      <c r="AG272" t="s">
        <v>159</v>
      </c>
      <c r="AH272" t="s">
        <v>42</v>
      </c>
    </row>
    <row r="273" spans="5:34">
      <c r="G273" s="26" t="s">
        <v>151</v>
      </c>
      <c r="H273" s="26"/>
      <c r="I273" s="26"/>
      <c r="J273" s="11" t="s">
        <v>58</v>
      </c>
      <c r="K273" s="24">
        <f>$AE$63</f>
        <v>128.14699999999999</v>
      </c>
      <c r="L273" s="24"/>
      <c r="M273" s="24"/>
      <c r="N273" t="s">
        <v>45</v>
      </c>
      <c r="Q273" t="str">
        <f>IF(K273&gt;=W273,"≥","&lt;")</f>
        <v>≥</v>
      </c>
      <c r="S273" s="26" t="s">
        <v>165</v>
      </c>
      <c r="T273" s="26"/>
      <c r="U273" s="26"/>
      <c r="V273" s="11" t="s">
        <v>58</v>
      </c>
      <c r="W273" s="24">
        <f>0.2*X268</f>
        <v>91.18472677044376</v>
      </c>
      <c r="X273" s="24"/>
      <c r="Y273" s="24"/>
      <c r="Z273" t="s">
        <v>45</v>
      </c>
    </row>
    <row r="274" spans="5:34">
      <c r="G274" s="26" t="s">
        <v>150</v>
      </c>
      <c r="H274" s="26"/>
      <c r="I274" s="26"/>
      <c r="J274" s="11" t="s">
        <v>58</v>
      </c>
      <c r="K274" s="24">
        <f>$AE$60</f>
        <v>72.331999999999994</v>
      </c>
      <c r="L274" s="24"/>
      <c r="M274" s="24"/>
      <c r="N274" t="s">
        <v>45</v>
      </c>
      <c r="Q274" t="str">
        <f>IF(K274&gt;=W274,"≥","&lt;")</f>
        <v>≥</v>
      </c>
      <c r="S274" s="26" t="s">
        <v>149</v>
      </c>
      <c r="T274" s="26"/>
      <c r="U274" s="26"/>
      <c r="W274" s="24">
        <f>0.2*X269</f>
        <v>45.400319999999994</v>
      </c>
      <c r="X274" s="24"/>
      <c r="Y274" s="24"/>
      <c r="Z274" t="s">
        <v>45</v>
      </c>
      <c r="AC274" s="25" t="str">
        <f>IF(K274&lt;=W274,"O.K !","N.G !")</f>
        <v>N.G !</v>
      </c>
      <c r="AD274" s="25"/>
    </row>
    <row r="276" spans="5:34">
      <c r="E276" t="s">
        <v>59</v>
      </c>
      <c r="F276" t="s">
        <v>166</v>
      </c>
      <c r="J276" s="3" t="str">
        <f>IF(Q278="&lt;", "Applicable Case","Not Applicable Case")</f>
        <v>Not Applicable Case</v>
      </c>
    </row>
    <row r="277" spans="5:34">
      <c r="F277" t="s">
        <v>167</v>
      </c>
      <c r="I277" t="s">
        <v>155</v>
      </c>
      <c r="J277" t="s">
        <v>168</v>
      </c>
      <c r="M277" t="s">
        <v>157</v>
      </c>
      <c r="AB277" s="4"/>
      <c r="AC277"/>
      <c r="AD277" s="5"/>
      <c r="AE277" s="14" t="s">
        <v>169</v>
      </c>
      <c r="AG277" t="s">
        <v>159</v>
      </c>
      <c r="AH277" t="s">
        <v>48</v>
      </c>
    </row>
    <row r="278" spans="5:34">
      <c r="G278" s="26" t="s">
        <v>150</v>
      </c>
      <c r="H278" s="26"/>
      <c r="I278" s="26"/>
      <c r="J278" s="11" t="s">
        <v>58</v>
      </c>
      <c r="K278" s="24">
        <f>$AE$60</f>
        <v>72.331999999999994</v>
      </c>
      <c r="L278" s="24"/>
      <c r="M278" s="24"/>
      <c r="N278" t="s">
        <v>45</v>
      </c>
      <c r="Q278" t="str">
        <f>IF(K278&gt;=W278,"≥","&lt;")</f>
        <v>≥</v>
      </c>
      <c r="S278" s="26" t="s">
        <v>170</v>
      </c>
      <c r="T278" s="26"/>
      <c r="U278" s="26"/>
      <c r="W278" s="24">
        <f>0.2*X269</f>
        <v>45.400319999999994</v>
      </c>
      <c r="X278" s="24"/>
      <c r="Y278" s="24"/>
      <c r="Z278" t="s">
        <v>45</v>
      </c>
      <c r="AB278" s="4"/>
      <c r="AC278"/>
      <c r="AD278" s="5"/>
      <c r="AE278" s="14"/>
    </row>
    <row r="279" spans="5:34">
      <c r="G279" s="26" t="s">
        <v>151</v>
      </c>
      <c r="H279" s="26"/>
      <c r="I279" s="26"/>
      <c r="J279" s="11" t="s">
        <v>58</v>
      </c>
      <c r="K279" s="24">
        <f>$AE$63</f>
        <v>128.14699999999999</v>
      </c>
      <c r="L279" s="24"/>
      <c r="M279" s="24"/>
      <c r="N279" t="s">
        <v>45</v>
      </c>
      <c r="Q279" t="str">
        <f>IF(K279&gt;=W279,"≥","&lt;")</f>
        <v>&lt;</v>
      </c>
      <c r="S279" s="26" t="s">
        <v>171</v>
      </c>
      <c r="T279" s="26"/>
      <c r="U279" s="26"/>
      <c r="V279" s="11" t="s">
        <v>58</v>
      </c>
      <c r="W279" s="24">
        <f>X268</f>
        <v>455.92363385221876</v>
      </c>
      <c r="X279" s="24"/>
      <c r="Y279" s="24"/>
      <c r="Z279" t="s">
        <v>45</v>
      </c>
      <c r="AC279" s="25" t="str">
        <f>IF(K279&lt;=W279,"O.K !","N.G !")</f>
        <v>O.K !</v>
      </c>
      <c r="AD279" s="25"/>
    </row>
    <row r="281" spans="5:34">
      <c r="E281" t="s">
        <v>59</v>
      </c>
      <c r="F281" t="s">
        <v>172</v>
      </c>
      <c r="J281" s="3" t="str">
        <f>IF(AND(Q283="&gt;",Q284="&gt;"), "Applicable Case","Not Applicable Case")</f>
        <v>Applicable Case</v>
      </c>
    </row>
    <row r="282" spans="5:34">
      <c r="F282" t="s">
        <v>154</v>
      </c>
      <c r="I282" t="s">
        <v>173</v>
      </c>
      <c r="J282" t="s">
        <v>156</v>
      </c>
      <c r="M282" t="s">
        <v>174</v>
      </c>
      <c r="O282" t="s">
        <v>42</v>
      </c>
      <c r="Q282" t="s">
        <v>173</v>
      </c>
      <c r="R282" t="s">
        <v>175</v>
      </c>
      <c r="U282" t="s">
        <v>176</v>
      </c>
      <c r="X282" s="14" t="s">
        <v>178</v>
      </c>
      <c r="AB282" s="4"/>
      <c r="AC282"/>
      <c r="AD282" s="5"/>
    </row>
    <row r="283" spans="5:34">
      <c r="G283" s="26" t="s">
        <v>151</v>
      </c>
      <c r="H283" s="26"/>
      <c r="I283" s="26"/>
      <c r="J283" s="11" t="s">
        <v>58</v>
      </c>
      <c r="K283" s="24">
        <f>$AE$63</f>
        <v>128.14699999999999</v>
      </c>
      <c r="L283" s="24"/>
      <c r="M283" s="24"/>
      <c r="N283" t="s">
        <v>45</v>
      </c>
      <c r="Q283" t="str">
        <f>IF(K283&gt;=W283,"&gt;","≤")</f>
        <v>&gt;</v>
      </c>
      <c r="S283" s="26" t="s">
        <v>165</v>
      </c>
      <c r="T283" s="26"/>
      <c r="U283" s="26"/>
      <c r="V283" s="11" t="s">
        <v>58</v>
      </c>
      <c r="W283" s="24">
        <f>0.2*X268</f>
        <v>91.18472677044376</v>
      </c>
      <c r="X283" s="24"/>
      <c r="Y283" s="24"/>
      <c r="Z283" t="s">
        <v>45</v>
      </c>
    </row>
    <row r="284" spans="5:34">
      <c r="G284" s="26" t="s">
        <v>150</v>
      </c>
      <c r="H284" s="26"/>
      <c r="I284" s="26"/>
      <c r="J284" s="11" t="s">
        <v>58</v>
      </c>
      <c r="K284" s="24">
        <f>$AE$60</f>
        <v>72.331999999999994</v>
      </c>
      <c r="L284" s="24"/>
      <c r="M284" s="24"/>
      <c r="N284" t="s">
        <v>45</v>
      </c>
      <c r="Q284" t="str">
        <f>IF(K284&gt;=W284,"&gt;","≤")</f>
        <v>&gt;</v>
      </c>
      <c r="S284" s="26" t="s">
        <v>170</v>
      </c>
      <c r="T284" s="26"/>
      <c r="U284" s="26"/>
      <c r="W284" s="24">
        <f>0.2*X269</f>
        <v>45.400319999999994</v>
      </c>
      <c r="X284" s="24"/>
      <c r="Y284" s="24"/>
      <c r="Z284" t="s">
        <v>45</v>
      </c>
    </row>
    <row r="285" spans="5:34">
      <c r="G285" s="16"/>
      <c r="H285" s="16"/>
      <c r="I285" s="16"/>
      <c r="J285" s="11"/>
      <c r="K285" s="26" t="s">
        <v>150</v>
      </c>
      <c r="L285" s="26"/>
      <c r="M285" s="26"/>
      <c r="N285" s="18" t="s">
        <v>177</v>
      </c>
      <c r="O285" s="26" t="s">
        <v>149</v>
      </c>
      <c r="P285" s="26"/>
      <c r="Q285" s="26"/>
      <c r="R285" s="18" t="s">
        <v>179</v>
      </c>
      <c r="S285" s="26" t="s">
        <v>151</v>
      </c>
      <c r="T285" s="26"/>
      <c r="U285" s="26"/>
      <c r="V285" s="18" t="s">
        <v>177</v>
      </c>
      <c r="W285" s="26" t="s">
        <v>152</v>
      </c>
      <c r="X285" s="26"/>
      <c r="Y285" s="26"/>
    </row>
    <row r="286" spans="5:34">
      <c r="G286" s="16"/>
      <c r="H286" s="16"/>
      <c r="I286" s="16"/>
      <c r="J286" s="1" t="s">
        <v>11</v>
      </c>
      <c r="K286" s="24">
        <f>$AE$60</f>
        <v>72.331999999999994</v>
      </c>
      <c r="L286" s="24"/>
      <c r="M286" s="24"/>
      <c r="N286" s="18" t="s">
        <v>177</v>
      </c>
      <c r="O286" s="27">
        <f>X269</f>
        <v>227.00159999999997</v>
      </c>
      <c r="P286" s="27"/>
      <c r="Q286" s="27"/>
      <c r="R286" s="18" t="s">
        <v>179</v>
      </c>
      <c r="S286" s="24">
        <f>$AE$63</f>
        <v>128.14699999999999</v>
      </c>
      <c r="T286" s="24"/>
      <c r="U286" s="24"/>
      <c r="V286" s="18" t="s">
        <v>177</v>
      </c>
      <c r="W286" s="27">
        <f>X268</f>
        <v>455.92363385221876</v>
      </c>
      <c r="X286" s="27"/>
      <c r="Y286" s="27"/>
      <c r="Z286" s="5"/>
      <c r="AA286" s="5"/>
      <c r="AB286" s="5"/>
      <c r="AC286" s="5"/>
      <c r="AD286" s="5"/>
    </row>
    <row r="287" spans="5:34">
      <c r="J287" s="1" t="s">
        <v>11</v>
      </c>
      <c r="K287" s="24">
        <f>K286/O286+S286/W286</f>
        <v>0.59971211957260906</v>
      </c>
      <c r="L287" s="24"/>
      <c r="M287" s="24"/>
      <c r="Q287" t="str">
        <f>IF(K287&gt;=U287,"&gt;","≤")</f>
        <v>≤</v>
      </c>
      <c r="U287" s="24">
        <v>1.2</v>
      </c>
      <c r="V287" s="24"/>
      <c r="W287" s="24"/>
      <c r="AC287" s="25" t="str">
        <f>IF(K287&lt;=U287,"O.K !","N.G !")</f>
        <v>O.K !</v>
      </c>
      <c r="AD287" s="25"/>
    </row>
  </sheetData>
  <mergeCells count="182">
    <mergeCell ref="AE11:AG11"/>
    <mergeCell ref="AE12:AG12"/>
    <mergeCell ref="AE13:AG13"/>
    <mergeCell ref="AE14:AG14"/>
    <mergeCell ref="AE15:AG15"/>
    <mergeCell ref="AE16:AG16"/>
    <mergeCell ref="AE4:AG4"/>
    <mergeCell ref="AE5:AG5"/>
    <mergeCell ref="AE6:AG6"/>
    <mergeCell ref="AE7:AG7"/>
    <mergeCell ref="AE10:AG10"/>
    <mergeCell ref="AE9:AJ9"/>
    <mergeCell ref="J65:L65"/>
    <mergeCell ref="J66:L66"/>
    <mergeCell ref="AE66:AG66"/>
    <mergeCell ref="I70:K70"/>
    <mergeCell ref="N70:P70"/>
    <mergeCell ref="T70:V70"/>
    <mergeCell ref="AE18:AG18"/>
    <mergeCell ref="AE19:AG19"/>
    <mergeCell ref="AE20:AG20"/>
    <mergeCell ref="AE21:AG21"/>
    <mergeCell ref="AE60:AG60"/>
    <mergeCell ref="AE63:AG63"/>
    <mergeCell ref="G106:I106"/>
    <mergeCell ref="K106:M106"/>
    <mergeCell ref="G107:I107"/>
    <mergeCell ref="K107:M107"/>
    <mergeCell ref="J112:L112"/>
    <mergeCell ref="T112:V112"/>
    <mergeCell ref="J102:L102"/>
    <mergeCell ref="T102:V102"/>
    <mergeCell ref="Y102:Z102"/>
    <mergeCell ref="G104:I104"/>
    <mergeCell ref="K104:M104"/>
    <mergeCell ref="G105:I105"/>
    <mergeCell ref="K105:M105"/>
    <mergeCell ref="K118:M118"/>
    <mergeCell ref="G119:I119"/>
    <mergeCell ref="K120:M120"/>
    <mergeCell ref="G121:I121"/>
    <mergeCell ref="K121:M121"/>
    <mergeCell ref="G122:I122"/>
    <mergeCell ref="K122:M122"/>
    <mergeCell ref="Y112:Z112"/>
    <mergeCell ref="G114:I114"/>
    <mergeCell ref="K114:M114"/>
    <mergeCell ref="G115:I115"/>
    <mergeCell ref="K116:M116"/>
    <mergeCell ref="G117:I117"/>
    <mergeCell ref="K126:M126"/>
    <mergeCell ref="J142:L142"/>
    <mergeCell ref="T142:V142"/>
    <mergeCell ref="Y142:Z142"/>
    <mergeCell ref="G144:I144"/>
    <mergeCell ref="K144:M144"/>
    <mergeCell ref="G123:I123"/>
    <mergeCell ref="T123:U123"/>
    <mergeCell ref="W123:Y123"/>
    <mergeCell ref="G124:I124"/>
    <mergeCell ref="K124:M124"/>
    <mergeCell ref="G125:I125"/>
    <mergeCell ref="F154:H154"/>
    <mergeCell ref="J154:M154"/>
    <mergeCell ref="Q154:R154"/>
    <mergeCell ref="T154:V154"/>
    <mergeCell ref="X154:AA154"/>
    <mergeCell ref="J157:L157"/>
    <mergeCell ref="T157:V157"/>
    <mergeCell ref="Y157:Z157"/>
    <mergeCell ref="G145:I145"/>
    <mergeCell ref="K145:M145"/>
    <mergeCell ref="G146:I146"/>
    <mergeCell ref="K147:M147"/>
    <mergeCell ref="G148:I148"/>
    <mergeCell ref="K148:M148"/>
    <mergeCell ref="G162:I162"/>
    <mergeCell ref="K162:M162"/>
    <mergeCell ref="J168:L168"/>
    <mergeCell ref="T168:V168"/>
    <mergeCell ref="Y168:Z168"/>
    <mergeCell ref="G170:I170"/>
    <mergeCell ref="G159:I159"/>
    <mergeCell ref="K159:M159"/>
    <mergeCell ref="G160:I160"/>
    <mergeCell ref="K160:M160"/>
    <mergeCell ref="G161:I161"/>
    <mergeCell ref="K161:M161"/>
    <mergeCell ref="G177:I177"/>
    <mergeCell ref="G178:I178"/>
    <mergeCell ref="J187:L187"/>
    <mergeCell ref="T187:V187"/>
    <mergeCell ref="Y187:Z187"/>
    <mergeCell ref="G189:I189"/>
    <mergeCell ref="K189:M189"/>
    <mergeCell ref="G171:I171"/>
    <mergeCell ref="G172:I172"/>
    <mergeCell ref="G173:I173"/>
    <mergeCell ref="G174:I174"/>
    <mergeCell ref="G175:I175"/>
    <mergeCell ref="G176:I176"/>
    <mergeCell ref="Y198:Z198"/>
    <mergeCell ref="G200:I200"/>
    <mergeCell ref="K200:M200"/>
    <mergeCell ref="G201:I201"/>
    <mergeCell ref="G190:I190"/>
    <mergeCell ref="K190:M190"/>
    <mergeCell ref="G191:I191"/>
    <mergeCell ref="K191:M191"/>
    <mergeCell ref="G192:I192"/>
    <mergeCell ref="K192:M192"/>
    <mergeCell ref="K202:M202"/>
    <mergeCell ref="G203:I203"/>
    <mergeCell ref="K204:M204"/>
    <mergeCell ref="G205:I205"/>
    <mergeCell ref="K206:M206"/>
    <mergeCell ref="G207:I207"/>
    <mergeCell ref="K207:M207"/>
    <mergeCell ref="J198:L198"/>
    <mergeCell ref="T198:V198"/>
    <mergeCell ref="G213:I213"/>
    <mergeCell ref="K214:M214"/>
    <mergeCell ref="G215:I215"/>
    <mergeCell ref="K216:M216"/>
    <mergeCell ref="G217:I217"/>
    <mergeCell ref="K217:M217"/>
    <mergeCell ref="G208:I208"/>
    <mergeCell ref="K209:M209"/>
    <mergeCell ref="G210:I210"/>
    <mergeCell ref="K210:M210"/>
    <mergeCell ref="G211:I211"/>
    <mergeCell ref="K212:M212"/>
    <mergeCell ref="G230:I230"/>
    <mergeCell ref="K230:M230"/>
    <mergeCell ref="G268:I268"/>
    <mergeCell ref="G269:I269"/>
    <mergeCell ref="G273:I273"/>
    <mergeCell ref="G274:I274"/>
    <mergeCell ref="J226:L226"/>
    <mergeCell ref="T226:V226"/>
    <mergeCell ref="Y226:Z226"/>
    <mergeCell ref="G228:I228"/>
    <mergeCell ref="K228:M228"/>
    <mergeCell ref="G229:I229"/>
    <mergeCell ref="K229:M229"/>
    <mergeCell ref="AC274:AD274"/>
    <mergeCell ref="G279:I279"/>
    <mergeCell ref="K279:M279"/>
    <mergeCell ref="S279:U279"/>
    <mergeCell ref="W279:Y279"/>
    <mergeCell ref="X268:Z268"/>
    <mergeCell ref="X269:Z269"/>
    <mergeCell ref="K273:M273"/>
    <mergeCell ref="K274:M274"/>
    <mergeCell ref="S273:U273"/>
    <mergeCell ref="W273:Y273"/>
    <mergeCell ref="W274:Y274"/>
    <mergeCell ref="S274:U274"/>
    <mergeCell ref="G284:I284"/>
    <mergeCell ref="K284:M284"/>
    <mergeCell ref="S284:U284"/>
    <mergeCell ref="W284:Y284"/>
    <mergeCell ref="G278:I278"/>
    <mergeCell ref="K278:M278"/>
    <mergeCell ref="S278:U278"/>
    <mergeCell ref="W278:Y278"/>
    <mergeCell ref="AC279:AD279"/>
    <mergeCell ref="G283:I283"/>
    <mergeCell ref="K283:M283"/>
    <mergeCell ref="S283:U283"/>
    <mergeCell ref="W283:Y283"/>
    <mergeCell ref="U287:W287"/>
    <mergeCell ref="AC287:AD287"/>
    <mergeCell ref="K287:M287"/>
    <mergeCell ref="K285:M285"/>
    <mergeCell ref="O285:Q285"/>
    <mergeCell ref="S285:U285"/>
    <mergeCell ref="W285:Y285"/>
    <mergeCell ref="W286:Y286"/>
    <mergeCell ref="K286:M286"/>
    <mergeCell ref="O286:Q286"/>
    <mergeCell ref="S286:U286"/>
  </mergeCells>
  <phoneticPr fontId="1" type="noConversion"/>
  <dataValidations count="1">
    <dataValidation type="list" allowBlank="1" showInputMessage="1" showErrorMessage="1" sqref="AE9" xr:uid="{92B10B17-C76B-41FA-BB13-A0A7331AAF58}">
      <formula1>$AN$9:$AN$14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10F8-CCAF-4740-ACB9-5A77605817DC}">
  <dimension ref="C1:AP285"/>
  <sheetViews>
    <sheetView view="pageBreakPreview" topLeftCell="A41" zoomScaleNormal="100" zoomScaleSheetLayoutView="100" workbookViewId="0">
      <selection activeCell="T60" sqref="T60"/>
    </sheetView>
  </sheetViews>
  <sheetFormatPr defaultColWidth="8.75" defaultRowHeight="16.5" outlineLevelRow="1"/>
  <cols>
    <col min="1" max="1" width="2.125" customWidth="1"/>
    <col min="2" max="28" width="2.25" customWidth="1"/>
    <col min="29" max="29" width="2.25" style="4" customWidth="1"/>
    <col min="30" max="30" width="2.25" customWidth="1"/>
    <col min="31" max="31" width="2.25" style="5" customWidth="1"/>
    <col min="32" max="36" width="2.25" customWidth="1"/>
  </cols>
  <sheetData>
    <row r="1" spans="3:40" ht="14.1" customHeight="1"/>
    <row r="2" spans="3:40" ht="14.1" customHeight="1">
      <c r="C2" s="3" t="s">
        <v>0</v>
      </c>
    </row>
    <row r="3" spans="3:40" ht="14.1" customHeight="1"/>
    <row r="4" spans="3:40" ht="14.1" customHeight="1">
      <c r="E4" s="1" t="s">
        <v>3</v>
      </c>
      <c r="F4" t="s">
        <v>4</v>
      </c>
      <c r="AC4" s="4" t="s">
        <v>12</v>
      </c>
      <c r="AD4" s="1" t="s">
        <v>11</v>
      </c>
      <c r="AE4" s="24">
        <v>6300</v>
      </c>
      <c r="AF4" s="24"/>
      <c r="AG4" s="24"/>
      <c r="AH4" t="s">
        <v>1</v>
      </c>
    </row>
    <row r="5" spans="3:40" ht="14.1" customHeight="1">
      <c r="E5" s="1" t="s">
        <v>3</v>
      </c>
      <c r="F5" t="s">
        <v>5</v>
      </c>
      <c r="AC5" s="4" t="s">
        <v>2</v>
      </c>
      <c r="AD5" s="1" t="s">
        <v>11</v>
      </c>
      <c r="AE5" s="24">
        <v>2800</v>
      </c>
      <c r="AF5" s="24"/>
      <c r="AG5" s="24"/>
      <c r="AH5" t="s">
        <v>1</v>
      </c>
    </row>
    <row r="6" spans="3:40" ht="14.1" customHeight="1">
      <c r="E6" s="1" t="s">
        <v>3</v>
      </c>
      <c r="F6" t="s">
        <v>6</v>
      </c>
      <c r="AC6" s="4" t="s">
        <v>7</v>
      </c>
      <c r="AD6" s="1" t="s">
        <v>11</v>
      </c>
      <c r="AE6" s="30">
        <v>1150</v>
      </c>
      <c r="AF6" s="30"/>
      <c r="AG6" s="30"/>
      <c r="AH6" t="s">
        <v>1</v>
      </c>
      <c r="AL6" t="s">
        <v>162</v>
      </c>
    </row>
    <row r="7" spans="3:40" ht="14.1" customHeight="1">
      <c r="E7" s="1" t="s">
        <v>3</v>
      </c>
      <c r="F7" t="s">
        <v>87</v>
      </c>
      <c r="AC7" s="4" t="s">
        <v>88</v>
      </c>
      <c r="AD7" s="1" t="s">
        <v>11</v>
      </c>
      <c r="AE7" s="41">
        <v>24</v>
      </c>
      <c r="AF7" s="41"/>
      <c r="AG7" s="41"/>
      <c r="AH7" t="s">
        <v>21</v>
      </c>
      <c r="AL7" t="s">
        <v>163</v>
      </c>
    </row>
    <row r="8" spans="3:40" ht="14.1" customHeight="1">
      <c r="E8" s="1"/>
      <c r="AD8" s="1"/>
      <c r="AN8" t="s">
        <v>210</v>
      </c>
    </row>
    <row r="9" spans="3:40" ht="14.1" customHeight="1">
      <c r="E9" s="1" t="s">
        <v>3</v>
      </c>
      <c r="F9" t="s">
        <v>26</v>
      </c>
      <c r="AC9" s="4" t="s">
        <v>27</v>
      </c>
      <c r="AD9" s="1" t="s">
        <v>11</v>
      </c>
      <c r="AE9" s="37" t="s">
        <v>209</v>
      </c>
      <c r="AF9" s="37"/>
      <c r="AG9" s="37"/>
      <c r="AH9" s="37"/>
      <c r="AI9" s="37"/>
      <c r="AJ9" s="37"/>
      <c r="AN9" t="s">
        <v>204</v>
      </c>
    </row>
    <row r="10" spans="3:40" ht="14.1" customHeight="1">
      <c r="E10" s="1" t="s">
        <v>3</v>
      </c>
      <c r="F10" t="s">
        <v>9</v>
      </c>
      <c r="AC10" s="4" t="s">
        <v>13</v>
      </c>
      <c r="AD10" s="1" t="s">
        <v>11</v>
      </c>
      <c r="AE10" s="42">
        <v>30</v>
      </c>
      <c r="AF10" s="42"/>
      <c r="AG10" s="42"/>
      <c r="AH10" t="s">
        <v>1</v>
      </c>
      <c r="AN10" t="s">
        <v>205</v>
      </c>
    </row>
    <row r="11" spans="3:40" ht="14.1" customHeight="1">
      <c r="E11" s="1" t="s">
        <v>3</v>
      </c>
      <c r="F11" t="s">
        <v>14</v>
      </c>
      <c r="AC11" s="4" t="s">
        <v>15</v>
      </c>
      <c r="AD11" s="1" t="s">
        <v>11</v>
      </c>
      <c r="AE11" s="24">
        <v>14</v>
      </c>
      <c r="AF11" s="24"/>
      <c r="AG11" s="24"/>
      <c r="AH11" t="s">
        <v>16</v>
      </c>
      <c r="AN11" t="s">
        <v>209</v>
      </c>
    </row>
    <row r="12" spans="3:40" ht="14.1" customHeight="1">
      <c r="E12" s="1" t="s">
        <v>3</v>
      </c>
      <c r="F12" t="s">
        <v>17</v>
      </c>
      <c r="AC12" s="4" t="s">
        <v>19</v>
      </c>
      <c r="AD12" s="1" t="s">
        <v>11</v>
      </c>
      <c r="AE12" s="24">
        <f>AE10^2/4*PI()</f>
        <v>706.85834705770344</v>
      </c>
      <c r="AF12" s="24"/>
      <c r="AG12" s="24"/>
      <c r="AH12" t="s">
        <v>18</v>
      </c>
      <c r="AN12" t="s">
        <v>206</v>
      </c>
    </row>
    <row r="13" spans="3:40" ht="14.1" customHeight="1">
      <c r="E13" s="1" t="s">
        <v>3</v>
      </c>
      <c r="F13" t="s">
        <v>28</v>
      </c>
      <c r="AC13" s="4" t="s">
        <v>29</v>
      </c>
      <c r="AD13" s="1" t="s">
        <v>11</v>
      </c>
      <c r="AE13" s="30">
        <v>1126</v>
      </c>
      <c r="AF13" s="30"/>
      <c r="AG13" s="30"/>
      <c r="AH13" t="s">
        <v>18</v>
      </c>
      <c r="AL13" t="s">
        <v>30</v>
      </c>
      <c r="AN13" t="s">
        <v>207</v>
      </c>
    </row>
    <row r="14" spans="3:40" ht="14.1" customHeight="1">
      <c r="E14" s="1" t="s">
        <v>3</v>
      </c>
      <c r="F14" t="s">
        <v>20</v>
      </c>
      <c r="AC14" s="4" t="s">
        <v>22</v>
      </c>
      <c r="AD14" s="1" t="s">
        <v>11</v>
      </c>
      <c r="AE14" s="24">
        <v>720</v>
      </c>
      <c r="AF14" s="24"/>
      <c r="AG14" s="24"/>
      <c r="AH14" t="s">
        <v>21</v>
      </c>
      <c r="AN14" t="s">
        <v>208</v>
      </c>
    </row>
    <row r="15" spans="3:40" ht="14.1" customHeight="1">
      <c r="E15" s="1" t="s">
        <v>3</v>
      </c>
      <c r="F15" t="s">
        <v>23</v>
      </c>
      <c r="AC15" s="4" t="s">
        <v>25</v>
      </c>
      <c r="AD15" s="1" t="s">
        <v>11</v>
      </c>
      <c r="AE15" s="41">
        <v>860</v>
      </c>
      <c r="AF15" s="41"/>
      <c r="AG15" s="41"/>
      <c r="AH15" t="s">
        <v>21</v>
      </c>
    </row>
    <row r="16" spans="3:40" ht="14.1" customHeight="1">
      <c r="E16" s="1" t="s">
        <v>3</v>
      </c>
      <c r="F16" t="s">
        <v>36</v>
      </c>
      <c r="AC16" s="4" t="s">
        <v>37</v>
      </c>
      <c r="AD16" s="1" t="s">
        <v>11</v>
      </c>
      <c r="AE16" s="42">
        <v>715</v>
      </c>
      <c r="AF16" s="42"/>
      <c r="AG16" s="42"/>
      <c r="AH16" t="s">
        <v>1</v>
      </c>
    </row>
    <row r="17" spans="5:42" ht="14.1" customHeight="1"/>
    <row r="18" spans="5:42" ht="14.1" customHeight="1">
      <c r="E18" s="1" t="s">
        <v>3</v>
      </c>
      <c r="F18" t="s">
        <v>31</v>
      </c>
      <c r="AC18" s="4" t="s">
        <v>33</v>
      </c>
      <c r="AD18" s="1" t="s">
        <v>11</v>
      </c>
      <c r="AE18" s="24">
        <v>380</v>
      </c>
      <c r="AF18" s="24"/>
      <c r="AG18" s="24"/>
      <c r="AH18" t="s">
        <v>1</v>
      </c>
    </row>
    <row r="19" spans="5:42" ht="14.1" customHeight="1">
      <c r="E19" s="1" t="s">
        <v>3</v>
      </c>
      <c r="F19" t="s">
        <v>32</v>
      </c>
      <c r="AC19" s="4" t="s">
        <v>34</v>
      </c>
      <c r="AD19" s="1" t="s">
        <v>11</v>
      </c>
      <c r="AE19" s="24">
        <v>600</v>
      </c>
      <c r="AF19" s="24"/>
      <c r="AG19" s="24"/>
      <c r="AH19" t="s">
        <v>1</v>
      </c>
    </row>
    <row r="20" spans="5:42" ht="14.1" customHeight="1">
      <c r="E20" s="1" t="s">
        <v>3</v>
      </c>
      <c r="F20" t="s">
        <v>35</v>
      </c>
      <c r="AC20" s="4" t="s">
        <v>38</v>
      </c>
      <c r="AD20" s="1" t="s">
        <v>11</v>
      </c>
      <c r="AE20" s="24">
        <v>850</v>
      </c>
      <c r="AF20" s="24"/>
      <c r="AG20" s="24"/>
      <c r="AH20" t="s">
        <v>1</v>
      </c>
    </row>
    <row r="21" spans="5:42" ht="14.1" customHeight="1">
      <c r="E21" s="1" t="s">
        <v>3</v>
      </c>
      <c r="F21" t="s">
        <v>35</v>
      </c>
      <c r="AC21" s="4" t="s">
        <v>39</v>
      </c>
      <c r="AD21" s="1" t="s">
        <v>11</v>
      </c>
      <c r="AE21" s="24">
        <v>2040</v>
      </c>
      <c r="AF21" s="24"/>
      <c r="AG21" s="24"/>
      <c r="AH21" t="s">
        <v>1</v>
      </c>
    </row>
    <row r="22" spans="5:42" ht="14.1" customHeight="1"/>
    <row r="23" spans="5:42" ht="14.1" customHeight="1"/>
    <row r="24" spans="5:42" ht="14.1" customHeight="1"/>
    <row r="25" spans="5:42" ht="14.1" customHeight="1"/>
    <row r="26" spans="5:42" ht="14.1" customHeight="1"/>
    <row r="27" spans="5:42" ht="14.1" customHeight="1"/>
    <row r="28" spans="5:42" ht="14.1" customHeight="1">
      <c r="AO28">
        <v>2800</v>
      </c>
      <c r="AP28">
        <v>6300</v>
      </c>
    </row>
    <row r="29" spans="5:42" ht="14.1" customHeight="1"/>
    <row r="30" spans="5:42" ht="14.1" customHeight="1"/>
    <row r="31" spans="5:42" ht="14.1" customHeight="1"/>
    <row r="32" spans="5:42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spans="3:34" ht="14.1" customHeight="1"/>
    <row r="50" spans="3:34" ht="14.1" customHeight="1"/>
    <row r="51" spans="3:34" ht="14.1" customHeight="1"/>
    <row r="54" spans="3:34">
      <c r="C54" s="3" t="s">
        <v>8</v>
      </c>
    </row>
    <row r="56" spans="3:34">
      <c r="D56" s="1" t="s">
        <v>41</v>
      </c>
      <c r="E56" t="s">
        <v>40</v>
      </c>
    </row>
    <row r="57" spans="3:34">
      <c r="D57" s="1"/>
    </row>
    <row r="58" spans="3:34">
      <c r="D58" s="1"/>
      <c r="E58" s="1" t="s">
        <v>3</v>
      </c>
      <c r="F58" t="s">
        <v>44</v>
      </c>
    </row>
    <row r="59" spans="3:34">
      <c r="D59" s="1"/>
      <c r="E59" s="1"/>
    </row>
    <row r="60" spans="3:34">
      <c r="AC60" s="4" t="s">
        <v>43</v>
      </c>
      <c r="AD60" s="1" t="s">
        <v>11</v>
      </c>
      <c r="AE60" s="24">
        <v>72.331999999999994</v>
      </c>
      <c r="AF60" s="24"/>
      <c r="AG60" s="24"/>
      <c r="AH60" t="s">
        <v>45</v>
      </c>
    </row>
    <row r="61" spans="3:34">
      <c r="E61" s="1" t="s">
        <v>3</v>
      </c>
      <c r="F61" t="s">
        <v>46</v>
      </c>
      <c r="AD61" s="1"/>
      <c r="AE61" s="2"/>
      <c r="AF61" s="2"/>
      <c r="AG61" s="2"/>
    </row>
    <row r="62" spans="3:34">
      <c r="E62" s="1"/>
      <c r="AC62" s="4" t="s">
        <v>48</v>
      </c>
      <c r="AD62" s="1" t="s">
        <v>11</v>
      </c>
      <c r="AE62" s="24">
        <v>128.14699999999999</v>
      </c>
      <c r="AF62" s="24"/>
      <c r="AG62" s="24"/>
      <c r="AH62" t="s">
        <v>45</v>
      </c>
    </row>
    <row r="63" spans="3:34">
      <c r="AC63" s="4" t="s">
        <v>197</v>
      </c>
      <c r="AD63" s="1" t="s">
        <v>11</v>
      </c>
      <c r="AE63" s="24">
        <f>AE62-AE69</f>
        <v>98.31004999999999</v>
      </c>
      <c r="AF63" s="24"/>
      <c r="AG63" s="24"/>
      <c r="AH63" t="s">
        <v>45</v>
      </c>
    </row>
    <row r="64" spans="3:34">
      <c r="E64" s="1" t="s">
        <v>3</v>
      </c>
      <c r="F64" t="s">
        <v>49</v>
      </c>
      <c r="AD64" s="1"/>
      <c r="AE64" s="2"/>
      <c r="AF64" s="2"/>
      <c r="AG64" s="2"/>
    </row>
    <row r="65" spans="3:34">
      <c r="E65" s="1"/>
      <c r="H65" t="s">
        <v>51</v>
      </c>
      <c r="I65" s="1" t="s">
        <v>11</v>
      </c>
      <c r="J65" s="39">
        <v>0.75</v>
      </c>
      <c r="K65" s="39"/>
      <c r="L65" s="39"/>
      <c r="AD65" s="1"/>
      <c r="AE65" s="2"/>
      <c r="AF65" s="2"/>
      <c r="AG65" s="2"/>
    </row>
    <row r="66" spans="3:34">
      <c r="H66" t="s">
        <v>52</v>
      </c>
      <c r="I66" s="1" t="s">
        <v>11</v>
      </c>
      <c r="J66" t="s">
        <v>196</v>
      </c>
    </row>
    <row r="67" spans="3:34">
      <c r="I67" s="1" t="s">
        <v>11</v>
      </c>
      <c r="J67" s="39">
        <f>$AE$60*$J$68</f>
        <v>39.782600000000002</v>
      </c>
      <c r="K67" s="39"/>
      <c r="L67" s="39"/>
      <c r="M67" t="s">
        <v>45</v>
      </c>
    </row>
    <row r="68" spans="3:34">
      <c r="H68" s="21" t="s">
        <v>195</v>
      </c>
      <c r="I68" s="1" t="s">
        <v>11</v>
      </c>
      <c r="J68" s="39">
        <v>0.55000000000000004</v>
      </c>
      <c r="K68" s="39"/>
      <c r="L68" s="39"/>
    </row>
    <row r="69" spans="3:34">
      <c r="AC69" s="6" t="s">
        <v>198</v>
      </c>
      <c r="AD69" s="1" t="s">
        <v>11</v>
      </c>
      <c r="AE69" s="24">
        <f>J67*J65</f>
        <v>29.836950000000002</v>
      </c>
      <c r="AF69" s="24"/>
      <c r="AG69" s="24"/>
      <c r="AH69" t="s">
        <v>45</v>
      </c>
    </row>
    <row r="71" spans="3:34">
      <c r="E71" s="1" t="s">
        <v>3</v>
      </c>
      <c r="F71" t="s">
        <v>48</v>
      </c>
      <c r="H71" s="1" t="s">
        <v>11</v>
      </c>
      <c r="I71" s="24">
        <f>AE63</f>
        <v>98.31004999999999</v>
      </c>
      <c r="J71" s="24"/>
      <c r="K71" s="24"/>
      <c r="L71" t="s">
        <v>45</v>
      </c>
      <c r="N71" s="24" t="str">
        <f>IF(I71&gt;T71,"&gt;","&lt;")</f>
        <v>&gt;</v>
      </c>
      <c r="O71" s="24"/>
      <c r="P71" s="24"/>
      <c r="Q71" s="5" t="s">
        <v>47</v>
      </c>
      <c r="S71" s="1" t="s">
        <v>11</v>
      </c>
      <c r="T71" s="24">
        <f>AE69</f>
        <v>29.836950000000002</v>
      </c>
      <c r="U71" s="24"/>
      <c r="V71" s="24"/>
      <c r="W71" t="s">
        <v>45</v>
      </c>
    </row>
    <row r="72" spans="3:34">
      <c r="R72" t="str">
        <f>IF(I71&lt;T71,"∴ The Anchor Bolts are not required to Resist Shear !","∴ The Anchor Bolts are required to Resist Shear !")</f>
        <v>∴ The Anchor Bolts are required to Resist Shear !</v>
      </c>
    </row>
    <row r="75" spans="3:34">
      <c r="C75" s="3" t="s">
        <v>183</v>
      </c>
    </row>
    <row r="77" spans="3:34">
      <c r="E77" s="1" t="s">
        <v>3</v>
      </c>
      <c r="F77" t="s">
        <v>185</v>
      </c>
    </row>
    <row r="78" spans="3:34">
      <c r="G78" t="s">
        <v>190</v>
      </c>
      <c r="I78" s="1" t="s">
        <v>11</v>
      </c>
      <c r="J78" s="24">
        <f>$AE$20</f>
        <v>850</v>
      </c>
      <c r="K78" s="24"/>
      <c r="L78" s="24"/>
      <c r="M78" t="s">
        <v>1</v>
      </c>
      <c r="P78" t="str">
        <f>IF(J78&lt;=V78,"≤","&gt;")</f>
        <v>≤</v>
      </c>
      <c r="R78" s="24" t="s">
        <v>191</v>
      </c>
      <c r="S78" s="24"/>
      <c r="T78" s="24"/>
      <c r="U78" s="1" t="s">
        <v>11</v>
      </c>
      <c r="V78" s="24">
        <f>3*AE16</f>
        <v>2145</v>
      </c>
      <c r="W78" s="24"/>
      <c r="X78" s="24"/>
      <c r="Y78" t="s">
        <v>1</v>
      </c>
      <c r="AB78" s="20" t="str">
        <f>IF(P78="≤","&lt;---- Group Type","&lt;---- Single Type")</f>
        <v>&lt;---- Group Type</v>
      </c>
    </row>
    <row r="79" spans="3:34">
      <c r="E79" s="1" t="s">
        <v>3</v>
      </c>
      <c r="F79" t="s">
        <v>186</v>
      </c>
    </row>
    <row r="80" spans="3:34">
      <c r="G80" t="s">
        <v>190</v>
      </c>
      <c r="I80" s="1" t="s">
        <v>11</v>
      </c>
      <c r="J80" s="24">
        <f>$AE$20</f>
        <v>850</v>
      </c>
      <c r="K80" s="24"/>
      <c r="L80" s="24"/>
      <c r="M80" t="s">
        <v>1</v>
      </c>
      <c r="P80" t="str">
        <f>IF(J80&lt;=V80,"≤","&gt;")</f>
        <v>≤</v>
      </c>
      <c r="R80" s="24" t="s">
        <v>192</v>
      </c>
      <c r="S80" s="24"/>
      <c r="T80" s="24"/>
      <c r="U80" s="1" t="s">
        <v>11</v>
      </c>
      <c r="V80" s="24">
        <f>6*AE18</f>
        <v>2280</v>
      </c>
      <c r="W80" s="24"/>
      <c r="X80" s="24"/>
      <c r="Y80" t="s">
        <v>1</v>
      </c>
      <c r="AB80" s="20" t="str">
        <f>IF(P80="≤","&lt;---- Group Type","&lt;---- Single Type")</f>
        <v>&lt;---- Group Type</v>
      </c>
    </row>
    <row r="81" spans="3:28">
      <c r="E81" s="1" t="s">
        <v>3</v>
      </c>
      <c r="F81" t="s">
        <v>187</v>
      </c>
    </row>
    <row r="82" spans="3:28">
      <c r="G82" t="s">
        <v>190</v>
      </c>
      <c r="I82" s="1" t="s">
        <v>11</v>
      </c>
      <c r="J82" s="24">
        <f>$AE$20</f>
        <v>850</v>
      </c>
      <c r="K82" s="24"/>
      <c r="L82" s="24"/>
      <c r="M82" t="s">
        <v>1</v>
      </c>
      <c r="P82" t="str">
        <f>IF(J82&lt;=V82,"≤","&gt;")</f>
        <v>&gt;</v>
      </c>
      <c r="R82" s="24" t="s">
        <v>193</v>
      </c>
      <c r="S82" s="24"/>
      <c r="T82" s="24"/>
      <c r="U82" s="1" t="s">
        <v>11</v>
      </c>
      <c r="V82" s="24">
        <f>2*K174</f>
        <v>0</v>
      </c>
      <c r="W82" s="24"/>
      <c r="X82" s="24"/>
      <c r="Y82" t="s">
        <v>1</v>
      </c>
      <c r="AB82" s="20" t="str">
        <f>IF(P82="≤","&lt;---- Group Type","&lt;---- Single Type")</f>
        <v>&lt;---- Single Type</v>
      </c>
    </row>
    <row r="83" spans="3:28">
      <c r="E83" s="1" t="s">
        <v>3</v>
      </c>
      <c r="F83" t="s">
        <v>188</v>
      </c>
    </row>
    <row r="84" spans="3:28">
      <c r="G84" t="s">
        <v>190</v>
      </c>
      <c r="I84" s="1" t="s">
        <v>11</v>
      </c>
      <c r="J84" s="24">
        <f>$AE$20</f>
        <v>850</v>
      </c>
      <c r="K84" s="24"/>
      <c r="L84" s="24"/>
      <c r="M84" t="s">
        <v>1</v>
      </c>
      <c r="P84" t="str">
        <f>IF(J84&lt;=V84,"≤","&gt;")</f>
        <v>≤</v>
      </c>
      <c r="R84" s="24" t="s">
        <v>194</v>
      </c>
      <c r="S84" s="24"/>
      <c r="T84" s="24"/>
      <c r="U84" s="1" t="s">
        <v>11</v>
      </c>
      <c r="V84" s="24">
        <f>3*AE18</f>
        <v>1140</v>
      </c>
      <c r="W84" s="24"/>
      <c r="X84" s="24"/>
      <c r="Y84" t="s">
        <v>1</v>
      </c>
      <c r="AB84" s="20" t="str">
        <f>IF(P84="≤","&lt;---- Group Type","&lt;---- Single Type")</f>
        <v>&lt;---- Group Type</v>
      </c>
    </row>
    <row r="85" spans="3:28">
      <c r="E85" s="1" t="s">
        <v>3</v>
      </c>
      <c r="F85" t="s">
        <v>189</v>
      </c>
    </row>
    <row r="86" spans="3:28">
      <c r="G86" s="19" t="s">
        <v>184</v>
      </c>
      <c r="AB86" s="20" t="str">
        <f>IF(P78="&lt;","&lt;---- Group Type",IF(P82="&lt;","&lt;---- Group Type","&lt;---- Single Type"))</f>
        <v>&lt;---- Single Type</v>
      </c>
    </row>
    <row r="92" spans="3:28">
      <c r="C92" s="3" t="s">
        <v>180</v>
      </c>
    </row>
    <row r="94" spans="3:28">
      <c r="D94" s="3" t="s">
        <v>54</v>
      </c>
    </row>
    <row r="96" spans="3:28">
      <c r="E96" t="s">
        <v>59</v>
      </c>
      <c r="F96" t="s">
        <v>60</v>
      </c>
      <c r="I96" t="s">
        <v>10</v>
      </c>
      <c r="J96" t="s">
        <v>61</v>
      </c>
    </row>
    <row r="97" spans="4:40">
      <c r="I97" t="s">
        <v>10</v>
      </c>
      <c r="J97" s="24">
        <f>K99*K100*K102*K101/1000</f>
        <v>455.92363385221876</v>
      </c>
      <c r="K97" s="24"/>
      <c r="L97" s="24"/>
      <c r="M97" t="s">
        <v>45</v>
      </c>
      <c r="O97" t="str">
        <f>IF(J97&gt;T97,"&gt;","&lt;")</f>
        <v>&gt;</v>
      </c>
      <c r="Q97" t="s">
        <v>43</v>
      </c>
      <c r="S97" s="1" t="s">
        <v>11</v>
      </c>
      <c r="T97" s="24">
        <f>$AE$60</f>
        <v>72.331999999999994</v>
      </c>
      <c r="U97" s="24"/>
      <c r="V97" s="24"/>
      <c r="W97" t="s">
        <v>45</v>
      </c>
      <c r="Y97" s="25" t="str">
        <f>IF(J97&gt;T97,"O.K !","N.G !")</f>
        <v>O.K !</v>
      </c>
      <c r="Z97" s="25"/>
    </row>
    <row r="98" spans="4:40">
      <c r="E98" t="s">
        <v>69</v>
      </c>
    </row>
    <row r="99" spans="4:40">
      <c r="F99" t="s">
        <v>59</v>
      </c>
      <c r="G99" s="24" t="s">
        <v>51</v>
      </c>
      <c r="H99" s="24"/>
      <c r="I99" s="24"/>
      <c r="J99" t="s">
        <v>10</v>
      </c>
      <c r="K99" s="24">
        <v>0.75</v>
      </c>
      <c r="L99" s="24"/>
      <c r="M99" s="24"/>
    </row>
    <row r="100" spans="4:40">
      <c r="F100" t="s">
        <v>59</v>
      </c>
      <c r="G100" s="24" t="s">
        <v>62</v>
      </c>
      <c r="H100" s="24"/>
      <c r="I100" s="24"/>
      <c r="J100" t="s">
        <v>10</v>
      </c>
      <c r="K100" s="24">
        <v>1</v>
      </c>
      <c r="L100" s="24"/>
      <c r="M100" s="24"/>
      <c r="N100" t="s">
        <v>65</v>
      </c>
      <c r="Q100" t="s">
        <v>66</v>
      </c>
    </row>
    <row r="101" spans="4:40">
      <c r="F101" t="s">
        <v>59</v>
      </c>
      <c r="G101" s="24" t="s">
        <v>24</v>
      </c>
      <c r="H101" s="24"/>
      <c r="I101" s="24"/>
      <c r="J101" t="s">
        <v>10</v>
      </c>
      <c r="K101" s="24">
        <f>MIN(1.9*AE14,AE15)</f>
        <v>860</v>
      </c>
      <c r="L101" s="24"/>
      <c r="M101" s="24"/>
      <c r="N101" t="s">
        <v>67</v>
      </c>
      <c r="Q101" t="s">
        <v>64</v>
      </c>
    </row>
    <row r="102" spans="4:40">
      <c r="F102" t="s">
        <v>59</v>
      </c>
      <c r="G102" s="24" t="s">
        <v>63</v>
      </c>
      <c r="H102" s="24"/>
      <c r="I102" s="24"/>
      <c r="J102" t="s">
        <v>10</v>
      </c>
      <c r="K102" s="24">
        <f>AE12</f>
        <v>706.85834705770344</v>
      </c>
      <c r="L102" s="24"/>
      <c r="M102" s="24"/>
      <c r="N102" t="s">
        <v>68</v>
      </c>
    </row>
    <row r="104" spans="4:40">
      <c r="D104" s="3" t="s">
        <v>70</v>
      </c>
    </row>
    <row r="106" spans="4:40">
      <c r="E106" t="s">
        <v>59</v>
      </c>
      <c r="F106" t="s">
        <v>71</v>
      </c>
      <c r="I106" t="s">
        <v>10</v>
      </c>
      <c r="J106" s="22" t="s">
        <v>199</v>
      </c>
    </row>
    <row r="107" spans="4:40">
      <c r="I107" t="s">
        <v>10</v>
      </c>
      <c r="J107" s="24">
        <f>K109*K111/K113*K115*K118*K119*K120*K122</f>
        <v>23.971106348131421</v>
      </c>
      <c r="K107" s="24"/>
      <c r="L107" s="24"/>
      <c r="M107" t="s">
        <v>45</v>
      </c>
      <c r="O107" t="str">
        <f>IF(J107&gt;T107,"&gt;","&lt;")</f>
        <v>&lt;</v>
      </c>
      <c r="Q107" t="s">
        <v>43</v>
      </c>
      <c r="S107" s="1" t="s">
        <v>11</v>
      </c>
      <c r="T107" s="24">
        <f>$AE$60</f>
        <v>72.331999999999994</v>
      </c>
      <c r="U107" s="24"/>
      <c r="V107" s="24"/>
      <c r="W107" t="s">
        <v>45</v>
      </c>
      <c r="Y107" s="25" t="str">
        <f>IF(J107&gt;T107,"O.K !","N.G !")</f>
        <v>N.G !</v>
      </c>
      <c r="Z107" s="25"/>
    </row>
    <row r="108" spans="4:40">
      <c r="E108" t="s">
        <v>69</v>
      </c>
    </row>
    <row r="109" spans="4:40">
      <c r="F109" t="s">
        <v>59</v>
      </c>
      <c r="G109" s="24" t="s">
        <v>51</v>
      </c>
      <c r="H109" s="24"/>
      <c r="I109" s="24"/>
      <c r="J109" t="s">
        <v>10</v>
      </c>
      <c r="K109" s="24">
        <v>0.75</v>
      </c>
      <c r="L109" s="24"/>
      <c r="M109" s="24"/>
      <c r="AN109" t="s">
        <v>84</v>
      </c>
    </row>
    <row r="110" spans="4:40">
      <c r="F110" t="s">
        <v>59</v>
      </c>
      <c r="G110" s="24" t="s">
        <v>73</v>
      </c>
      <c r="H110" s="24"/>
      <c r="I110" s="24"/>
      <c r="J110" t="s">
        <v>10</v>
      </c>
      <c r="K110" t="s">
        <v>79</v>
      </c>
    </row>
    <row r="111" spans="4:40">
      <c r="G111" s="2"/>
      <c r="H111" s="2"/>
      <c r="I111" s="2"/>
      <c r="K111" s="40">
        <f>(AE18+1.5*K124)*(2*1.5*K124)</f>
        <v>3115612.5</v>
      </c>
      <c r="L111" s="40"/>
      <c r="M111" s="40"/>
      <c r="N111" t="s">
        <v>18</v>
      </c>
    </row>
    <row r="112" spans="4:40">
      <c r="F112" t="s">
        <v>59</v>
      </c>
      <c r="G112" s="24" t="s">
        <v>74</v>
      </c>
      <c r="H112" s="24"/>
      <c r="I112" s="24"/>
      <c r="J112" t="s">
        <v>10</v>
      </c>
      <c r="K112" t="s">
        <v>211</v>
      </c>
    </row>
    <row r="113" spans="6:28">
      <c r="G113" s="2"/>
      <c r="H113" s="2"/>
      <c r="I113" s="2"/>
      <c r="K113" s="37">
        <f>9*K124^2*AE11</f>
        <v>64414350</v>
      </c>
      <c r="L113" s="37"/>
      <c r="M113" s="37"/>
      <c r="N113" t="s">
        <v>18</v>
      </c>
    </row>
    <row r="114" spans="6:28">
      <c r="F114" t="s">
        <v>59</v>
      </c>
      <c r="G114" s="36" t="s">
        <v>200</v>
      </c>
      <c r="H114" s="24"/>
      <c r="I114" s="24"/>
      <c r="J114" t="s">
        <v>10</v>
      </c>
      <c r="K114" s="5" t="s">
        <v>201</v>
      </c>
      <c r="L114" s="23"/>
      <c r="M114" s="17"/>
      <c r="S114" t="s">
        <v>203</v>
      </c>
      <c r="T114">
        <v>1</v>
      </c>
    </row>
    <row r="115" spans="6:28">
      <c r="G115" s="2"/>
      <c r="H115" s="2"/>
      <c r="I115" s="2"/>
      <c r="J115" t="s">
        <v>10</v>
      </c>
      <c r="K115" s="37">
        <f>MIN(1/(1+2*K116/3/K124),1)</f>
        <v>1</v>
      </c>
      <c r="L115" s="37"/>
      <c r="M115" s="37"/>
    </row>
    <row r="116" spans="6:28">
      <c r="F116" t="s">
        <v>59</v>
      </c>
      <c r="G116" s="38" t="s">
        <v>202</v>
      </c>
      <c r="H116" s="24"/>
      <c r="I116" s="24"/>
      <c r="J116" t="s">
        <v>10</v>
      </c>
      <c r="K116" s="37"/>
      <c r="L116" s="37"/>
      <c r="M116" s="37"/>
    </row>
    <row r="117" spans="6:28">
      <c r="F117" t="s">
        <v>59</v>
      </c>
      <c r="G117" s="36" t="s">
        <v>75</v>
      </c>
      <c r="H117" s="24"/>
      <c r="I117" s="24"/>
      <c r="J117" t="s">
        <v>10</v>
      </c>
      <c r="K117" t="s">
        <v>83</v>
      </c>
    </row>
    <row r="118" spans="6:28">
      <c r="G118" s="7"/>
      <c r="H118" s="2"/>
      <c r="I118" s="2"/>
      <c r="J118" t="s">
        <v>10</v>
      </c>
      <c r="K118" s="24">
        <f>IF(AE18&lt;1.5*K124,0.7+0.3*AE18/1.5/K124,1)</f>
        <v>0.80629370629370622</v>
      </c>
      <c r="L118" s="24"/>
      <c r="M118" s="24"/>
    </row>
    <row r="119" spans="6:28">
      <c r="F119" t="s">
        <v>59</v>
      </c>
      <c r="G119" s="36" t="s">
        <v>78</v>
      </c>
      <c r="H119" s="24"/>
      <c r="I119" s="24"/>
      <c r="J119" t="s">
        <v>10</v>
      </c>
      <c r="K119" s="30">
        <v>1.25</v>
      </c>
      <c r="L119" s="30"/>
      <c r="M119" s="30"/>
      <c r="O119" s="9" t="str">
        <f>IF(K119=1.4,"Post-in Anchor",IF(K119=1.25,"선설치 앵커","균열 콘크리트"))</f>
        <v>선설치 앵커</v>
      </c>
    </row>
    <row r="120" spans="6:28">
      <c r="F120" t="s">
        <v>59</v>
      </c>
      <c r="G120" s="38" t="s">
        <v>76</v>
      </c>
      <c r="H120" s="24"/>
      <c r="I120" s="24"/>
      <c r="J120" t="s">
        <v>10</v>
      </c>
      <c r="K120" s="24">
        <v>1</v>
      </c>
      <c r="L120" s="24"/>
      <c r="M120" s="24"/>
    </row>
    <row r="121" spans="6:28" ht="18">
      <c r="F121" t="s">
        <v>59</v>
      </c>
      <c r="G121" s="33" t="s">
        <v>77</v>
      </c>
      <c r="H121" s="24"/>
      <c r="I121" s="24"/>
      <c r="J121" t="s">
        <v>10</v>
      </c>
      <c r="K121" t="s">
        <v>89</v>
      </c>
      <c r="T121" s="34" t="s">
        <v>85</v>
      </c>
      <c r="U121" s="34"/>
      <c r="V121" s="9" t="s">
        <v>55</v>
      </c>
      <c r="W121" s="35">
        <v>7</v>
      </c>
      <c r="X121" s="35"/>
      <c r="Y121" s="35"/>
      <c r="Z121" s="9"/>
      <c r="AA121" s="9" t="str">
        <f>IF(W121=10,"Cast-in Anchor)","Post-in Anchor)")</f>
        <v>Post-in Anchor)</v>
      </c>
      <c r="AB121" s="9"/>
    </row>
    <row r="122" spans="6:28">
      <c r="G122" s="36"/>
      <c r="H122" s="24"/>
      <c r="I122" s="24"/>
      <c r="J122" t="s">
        <v>10</v>
      </c>
      <c r="K122" s="24">
        <f>W121*AE7^0.5*K124^1.5/1000</f>
        <v>655.63589666826454</v>
      </c>
      <c r="L122" s="24"/>
      <c r="M122" s="24"/>
      <c r="N122" t="s">
        <v>45</v>
      </c>
    </row>
    <row r="123" spans="6:28">
      <c r="F123" t="s">
        <v>59</v>
      </c>
      <c r="G123" s="33" t="s">
        <v>81</v>
      </c>
      <c r="H123" s="24"/>
      <c r="I123" s="24"/>
      <c r="J123" t="s">
        <v>10</v>
      </c>
      <c r="K123" t="s">
        <v>82</v>
      </c>
    </row>
    <row r="124" spans="6:28">
      <c r="J124" t="s">
        <v>10</v>
      </c>
      <c r="K124" s="24">
        <f>MAX(MAX(AE18,AE19)/1.5,AE16)</f>
        <v>715</v>
      </c>
      <c r="L124" s="24"/>
      <c r="M124" s="24"/>
      <c r="N124" t="s">
        <v>1</v>
      </c>
    </row>
    <row r="137" spans="4:26">
      <c r="D137" s="3" t="s">
        <v>90</v>
      </c>
    </row>
    <row r="139" spans="4:26">
      <c r="E139" t="s">
        <v>59</v>
      </c>
      <c r="F139" t="s">
        <v>91</v>
      </c>
      <c r="I139" t="s">
        <v>10</v>
      </c>
      <c r="J139" t="s">
        <v>92</v>
      </c>
    </row>
    <row r="140" spans="4:26">
      <c r="I140" t="s">
        <v>10</v>
      </c>
      <c r="J140" s="24">
        <f>K142*K143*K145</f>
        <v>68.039999999999992</v>
      </c>
      <c r="K140" s="24"/>
      <c r="L140" s="24"/>
      <c r="M140" t="s">
        <v>45</v>
      </c>
      <c r="O140" t="str">
        <f>IF(J140&gt;T140,"&gt;","&lt;")</f>
        <v>&lt;</v>
      </c>
      <c r="Q140" t="s">
        <v>43</v>
      </c>
      <c r="S140" s="1" t="s">
        <v>11</v>
      </c>
      <c r="T140" s="24">
        <f>$AE$60</f>
        <v>72.331999999999994</v>
      </c>
      <c r="U140" s="24"/>
      <c r="V140" s="24"/>
      <c r="W140" t="s">
        <v>45</v>
      </c>
      <c r="Y140" s="25" t="str">
        <f>IF(J140&gt;T140,"O.K !","N.G !")</f>
        <v>N.G !</v>
      </c>
      <c r="Z140" s="25"/>
    </row>
    <row r="141" spans="4:26">
      <c r="E141" t="s">
        <v>69</v>
      </c>
    </row>
    <row r="142" spans="4:26">
      <c r="F142" t="s">
        <v>59</v>
      </c>
      <c r="G142" s="28" t="s">
        <v>56</v>
      </c>
      <c r="H142" s="28"/>
      <c r="I142" s="28"/>
      <c r="J142" t="s">
        <v>10</v>
      </c>
      <c r="K142" s="24">
        <v>0.75</v>
      </c>
      <c r="L142" s="24"/>
      <c r="M142" s="24"/>
    </row>
    <row r="143" spans="4:26" ht="18">
      <c r="F143" t="s">
        <v>59</v>
      </c>
      <c r="G143" s="28" t="s">
        <v>93</v>
      </c>
      <c r="H143" s="28"/>
      <c r="I143" s="28"/>
      <c r="J143" t="s">
        <v>10</v>
      </c>
      <c r="K143" s="30">
        <v>1.4</v>
      </c>
      <c r="L143" s="30"/>
      <c r="M143" s="30"/>
      <c r="O143" t="s">
        <v>96</v>
      </c>
    </row>
    <row r="144" spans="4:26" ht="18">
      <c r="F144" t="s">
        <v>59</v>
      </c>
      <c r="G144" s="28" t="s">
        <v>94</v>
      </c>
      <c r="H144" s="28"/>
      <c r="I144" s="28"/>
      <c r="J144" t="s">
        <v>10</v>
      </c>
      <c r="K144" t="str">
        <f>IF(AE9="선설치 갈고리볼트","0.9 x f'c x DBolt x eh","8 x Abrg x f'c")</f>
        <v>0.9 x f'c x DBolt x eh</v>
      </c>
    </row>
    <row r="145" spans="4:38">
      <c r="J145" t="s">
        <v>10</v>
      </c>
      <c r="K145" s="24">
        <f>IF(AE9="선설치 갈고리볼트",0.9*AE7*AE10*K146/1000,8*AE13*AE7/1000)</f>
        <v>64.8</v>
      </c>
      <c r="L145" s="24"/>
      <c r="M145" s="24"/>
      <c r="N145" t="s">
        <v>45</v>
      </c>
    </row>
    <row r="146" spans="4:38" ht="18">
      <c r="F146" t="s">
        <v>59</v>
      </c>
      <c r="G146" s="28" t="s">
        <v>95</v>
      </c>
      <c r="H146" s="28"/>
      <c r="I146" s="28"/>
      <c r="J146" t="s">
        <v>10</v>
      </c>
      <c r="K146" s="24">
        <v>100</v>
      </c>
      <c r="L146" s="24"/>
      <c r="M146" s="24"/>
      <c r="N146" t="s">
        <v>1</v>
      </c>
      <c r="P146" t="s">
        <v>97</v>
      </c>
    </row>
    <row r="149" spans="4:38">
      <c r="D149" s="3" t="s">
        <v>98</v>
      </c>
    </row>
    <row r="151" spans="4:38">
      <c r="E151" t="s">
        <v>59</v>
      </c>
      <c r="F151" s="3" t="str">
        <f>IF(J152&gt;X152,"Not applicable as","Side Face Blow Out check Required")</f>
        <v>Not applicable as</v>
      </c>
    </row>
    <row r="152" spans="4:38" ht="18">
      <c r="F152" s="28" t="s">
        <v>100</v>
      </c>
      <c r="G152" s="28"/>
      <c r="H152" s="28"/>
      <c r="I152" s="10" t="s">
        <v>58</v>
      </c>
      <c r="J152" s="31">
        <f>2.5*AE18</f>
        <v>950</v>
      </c>
      <c r="K152" s="31"/>
      <c r="L152" s="31"/>
      <c r="M152" s="31"/>
      <c r="N152" s="11" t="s">
        <v>99</v>
      </c>
      <c r="O152" s="11"/>
      <c r="P152" s="11"/>
      <c r="Q152" s="32" t="str">
        <f>IF(J152&gt;X152,"&gt;","&lt;")</f>
        <v>&gt;</v>
      </c>
      <c r="R152" s="32"/>
      <c r="S152" s="11"/>
      <c r="T152" s="28" t="s">
        <v>101</v>
      </c>
      <c r="U152" s="28"/>
      <c r="V152" s="28"/>
      <c r="W152" s="11" t="s">
        <v>58</v>
      </c>
      <c r="X152" s="31">
        <f>AE16</f>
        <v>715</v>
      </c>
      <c r="Y152" s="31"/>
      <c r="Z152" s="31"/>
      <c r="AA152" s="31"/>
      <c r="AB152" s="11" t="s">
        <v>99</v>
      </c>
      <c r="AC152" s="11"/>
    </row>
    <row r="154" spans="4:38">
      <c r="E154" t="s">
        <v>59</v>
      </c>
      <c r="F154" t="s">
        <v>102</v>
      </c>
      <c r="I154" t="s">
        <v>10</v>
      </c>
      <c r="J154" t="str">
        <f>IF(AL160=1,"Ф x 13 x c1 x √(Abrg) x √(f'c) x ( 1 + c2 / c1) / 4","Ф x 13 x c1 x √(Abrg) x √(f'c)")</f>
        <v>Ф x 13 x c1 x √(Abrg) x √(f'c) x ( 1 + c2 / c1) / 4</v>
      </c>
    </row>
    <row r="155" spans="4:38">
      <c r="I155" t="s">
        <v>10</v>
      </c>
      <c r="J155" s="24">
        <f>IF(AL160=1,K157*13*AE18*K158^0.5*K159^0.5*(1+K160)/4/1000,K157*13*AE18*K158^0.5*K159^0.5/1000)</f>
        <v>392.68608865733961</v>
      </c>
      <c r="K155" s="24"/>
      <c r="L155" s="24"/>
      <c r="M155" t="s">
        <v>45</v>
      </c>
      <c r="O155" t="str">
        <f>IF(J155&gt;T155,"&gt;","&lt;")</f>
        <v>&gt;</v>
      </c>
      <c r="Q155" t="s">
        <v>43</v>
      </c>
      <c r="S155" s="1" t="s">
        <v>11</v>
      </c>
      <c r="T155" s="24">
        <f>$AE$60</f>
        <v>72.331999999999994</v>
      </c>
      <c r="U155" s="24"/>
      <c r="V155" s="24"/>
      <c r="W155" t="s">
        <v>45</v>
      </c>
      <c r="Y155" s="25" t="str">
        <f>IF(J155&gt;T155,"O.K !","N.G !")</f>
        <v>O.K !</v>
      </c>
      <c r="Z155" s="25"/>
    </row>
    <row r="156" spans="4:38">
      <c r="E156" t="s">
        <v>69</v>
      </c>
    </row>
    <row r="157" spans="4:38">
      <c r="F157" t="s">
        <v>59</v>
      </c>
      <c r="G157" s="28" t="s">
        <v>56</v>
      </c>
      <c r="H157" s="28"/>
      <c r="I157" s="28"/>
      <c r="J157" t="s">
        <v>10</v>
      </c>
      <c r="K157" s="24">
        <v>0.75</v>
      </c>
      <c r="L157" s="24"/>
      <c r="M157" s="24"/>
    </row>
    <row r="158" spans="4:38" ht="18">
      <c r="F158" t="s">
        <v>59</v>
      </c>
      <c r="G158" s="28" t="s">
        <v>103</v>
      </c>
      <c r="H158" s="28"/>
      <c r="I158" s="28"/>
      <c r="J158" t="s">
        <v>10</v>
      </c>
      <c r="K158" s="24">
        <f>AE13</f>
        <v>1126</v>
      </c>
      <c r="L158" s="24"/>
      <c r="M158" s="24"/>
      <c r="N158" t="s">
        <v>1</v>
      </c>
    </row>
    <row r="159" spans="4:38" ht="17.25" thickBot="1">
      <c r="F159" t="s">
        <v>59</v>
      </c>
      <c r="G159" s="28" t="s">
        <v>105</v>
      </c>
      <c r="H159" s="28"/>
      <c r="I159" s="28"/>
      <c r="J159" t="s">
        <v>10</v>
      </c>
      <c r="K159" s="24">
        <f>AE7</f>
        <v>24</v>
      </c>
      <c r="L159" s="24"/>
      <c r="M159" s="24"/>
      <c r="N159" t="s">
        <v>106</v>
      </c>
    </row>
    <row r="160" spans="4:38" ht="18.75" thickBot="1">
      <c r="F160" t="s">
        <v>59</v>
      </c>
      <c r="G160" s="29" t="s">
        <v>104</v>
      </c>
      <c r="H160" s="29"/>
      <c r="I160" s="29"/>
      <c r="J160" t="s">
        <v>10</v>
      </c>
      <c r="K160" s="24">
        <f>AE19/AE18</f>
        <v>1.5789473684210527</v>
      </c>
      <c r="L160" s="24"/>
      <c r="M160" s="24"/>
      <c r="AL160" s="13">
        <f>IF(AND(1&lt;=K160,3&gt;=K160),1,0)</f>
        <v>1</v>
      </c>
    </row>
    <row r="163" spans="4:32">
      <c r="D163" s="3" t="s">
        <v>107</v>
      </c>
    </row>
    <row r="164" spans="4:32" outlineLevel="1">
      <c r="E164" t="s">
        <v>59</v>
      </c>
      <c r="F164" s="3" t="str">
        <f>IF(AE9="후설치 부착식 앵커", "Applicable","Not Applicable")</f>
        <v>Not Applicable</v>
      </c>
      <c r="AC164"/>
      <c r="AD164" s="4"/>
      <c r="AE164"/>
      <c r="AF164" s="5"/>
    </row>
    <row r="165" spans="4:32" outlineLevel="1">
      <c r="E165" t="s">
        <v>59</v>
      </c>
      <c r="F165" t="s">
        <v>108</v>
      </c>
      <c r="I165" t="s">
        <v>10</v>
      </c>
      <c r="J165" t="s">
        <v>109</v>
      </c>
    </row>
    <row r="166" spans="4:32" outlineLevel="1">
      <c r="I166" t="s">
        <v>10</v>
      </c>
      <c r="J166" s="24"/>
      <c r="K166" s="24"/>
      <c r="L166" s="24"/>
      <c r="M166" t="s">
        <v>45</v>
      </c>
      <c r="O166" t="str">
        <f>IF(J166&gt;T166,"&gt;","&lt;")</f>
        <v>&lt;</v>
      </c>
      <c r="Q166" t="s">
        <v>43</v>
      </c>
      <c r="S166" s="1" t="s">
        <v>11</v>
      </c>
      <c r="T166" s="24">
        <f>$AE$60</f>
        <v>72.331999999999994</v>
      </c>
      <c r="U166" s="24"/>
      <c r="V166" s="24"/>
      <c r="W166" t="s">
        <v>45</v>
      </c>
      <c r="Y166" s="25" t="str">
        <f>IF(J166&gt;T166,"O.K !","N.G !")</f>
        <v>N.G !</v>
      </c>
      <c r="Z166" s="25"/>
    </row>
    <row r="167" spans="4:32" outlineLevel="1">
      <c r="E167" t="s">
        <v>69</v>
      </c>
    </row>
    <row r="168" spans="4:32" outlineLevel="1">
      <c r="F168" t="s">
        <v>59</v>
      </c>
      <c r="G168" s="28" t="s">
        <v>56</v>
      </c>
      <c r="H168" s="28"/>
      <c r="I168" s="28"/>
    </row>
    <row r="169" spans="4:32" ht="18" outlineLevel="1">
      <c r="F169" t="s">
        <v>59</v>
      </c>
      <c r="G169" s="28" t="s">
        <v>110</v>
      </c>
      <c r="H169" s="28"/>
      <c r="I169" s="28"/>
    </row>
    <row r="170" spans="4:32" ht="18" outlineLevel="1">
      <c r="F170" t="s">
        <v>59</v>
      </c>
      <c r="G170" s="28" t="s">
        <v>111</v>
      </c>
      <c r="H170" s="28"/>
      <c r="I170" s="28"/>
    </row>
    <row r="171" spans="4:32" ht="18" outlineLevel="1">
      <c r="F171" t="s">
        <v>59</v>
      </c>
      <c r="G171" s="28" t="s">
        <v>112</v>
      </c>
      <c r="H171" s="28"/>
      <c r="I171" s="28"/>
    </row>
    <row r="172" spans="4:32" ht="18" outlineLevel="1">
      <c r="F172" t="s">
        <v>59</v>
      </c>
      <c r="G172" s="28" t="s">
        <v>113</v>
      </c>
      <c r="H172" s="28"/>
      <c r="I172" s="28"/>
    </row>
    <row r="173" spans="4:32" ht="18" outlineLevel="1">
      <c r="F173" t="s">
        <v>59</v>
      </c>
      <c r="G173" s="28" t="s">
        <v>114</v>
      </c>
      <c r="H173" s="28"/>
      <c r="I173" s="28"/>
    </row>
    <row r="174" spans="4:32" ht="18" outlineLevel="1">
      <c r="F174" t="s">
        <v>59</v>
      </c>
      <c r="G174" s="28" t="s">
        <v>115</v>
      </c>
      <c r="H174" s="28"/>
      <c r="I174" s="28"/>
    </row>
    <row r="175" spans="4:32" ht="18" outlineLevel="1">
      <c r="F175" t="s">
        <v>59</v>
      </c>
      <c r="G175" s="28" t="s">
        <v>116</v>
      </c>
      <c r="H175" s="28"/>
      <c r="I175" s="28"/>
    </row>
    <row r="176" spans="4:32" ht="18" outlineLevel="1">
      <c r="F176" t="s">
        <v>59</v>
      </c>
      <c r="G176" s="28" t="s">
        <v>117</v>
      </c>
      <c r="H176" s="28"/>
      <c r="I176" s="28"/>
    </row>
    <row r="180" spans="3:26">
      <c r="C180" s="3" t="s">
        <v>181</v>
      </c>
    </row>
    <row r="182" spans="3:26">
      <c r="D182" s="3" t="s">
        <v>119</v>
      </c>
    </row>
    <row r="184" spans="3:26">
      <c r="E184" t="s">
        <v>59</v>
      </c>
      <c r="F184" t="s">
        <v>120</v>
      </c>
      <c r="I184" t="s">
        <v>10</v>
      </c>
      <c r="J184" t="s">
        <v>121</v>
      </c>
      <c r="M184" t="s">
        <v>122</v>
      </c>
    </row>
    <row r="185" spans="3:26">
      <c r="I185" t="s">
        <v>10</v>
      </c>
      <c r="J185" s="24">
        <f>K187*K188*K189*K190/1000</f>
        <v>455.92363385221876</v>
      </c>
      <c r="K185" s="24"/>
      <c r="L185" s="24"/>
      <c r="M185" t="s">
        <v>45</v>
      </c>
      <c r="O185" t="str">
        <f>IF(J185&gt;T185,"&gt;","&lt;")</f>
        <v>&gt;</v>
      </c>
      <c r="Q185" t="s">
        <v>48</v>
      </c>
      <c r="S185" s="1" t="s">
        <v>11</v>
      </c>
      <c r="T185" s="24">
        <f>$AE$63</f>
        <v>98.31004999999999</v>
      </c>
      <c r="U185" s="24"/>
      <c r="V185" s="24"/>
      <c r="W185" t="s">
        <v>45</v>
      </c>
      <c r="Y185" s="25" t="str">
        <f>IF(J185&gt;T185,"O.K !","N.G !")</f>
        <v>O.K !</v>
      </c>
      <c r="Z185" s="25"/>
    </row>
    <row r="186" spans="3:26">
      <c r="E186" t="s">
        <v>69</v>
      </c>
    </row>
    <row r="187" spans="3:26">
      <c r="F187" t="s">
        <v>59</v>
      </c>
      <c r="G187" s="28" t="s">
        <v>56</v>
      </c>
      <c r="H187" s="28"/>
      <c r="I187" s="28"/>
      <c r="J187" s="8" t="s">
        <v>55</v>
      </c>
      <c r="K187" s="24">
        <v>0.75</v>
      </c>
      <c r="L187" s="24"/>
      <c r="M187" s="24"/>
    </row>
    <row r="188" spans="3:26">
      <c r="F188" t="s">
        <v>59</v>
      </c>
      <c r="G188" s="28" t="s">
        <v>57</v>
      </c>
      <c r="H188" s="28"/>
      <c r="I188" s="28"/>
      <c r="J188" s="10" t="s">
        <v>58</v>
      </c>
      <c r="K188" s="24">
        <v>1</v>
      </c>
      <c r="L188" s="24"/>
      <c r="M188" s="24"/>
    </row>
    <row r="189" spans="3:26" ht="18">
      <c r="F189" t="s">
        <v>59</v>
      </c>
      <c r="G189" s="28" t="s">
        <v>123</v>
      </c>
      <c r="H189" s="28"/>
      <c r="I189" s="28"/>
      <c r="J189" s="10" t="s">
        <v>58</v>
      </c>
      <c r="K189" s="24">
        <f>MIN(1.9*AE14,AE15)</f>
        <v>860</v>
      </c>
      <c r="L189" s="24"/>
      <c r="M189" s="24"/>
      <c r="N189" t="s">
        <v>67</v>
      </c>
      <c r="Q189" t="s">
        <v>64</v>
      </c>
    </row>
    <row r="190" spans="3:26" ht="18">
      <c r="F190" t="s">
        <v>59</v>
      </c>
      <c r="G190" s="28" t="s">
        <v>124</v>
      </c>
      <c r="H190" s="28"/>
      <c r="I190" s="28"/>
      <c r="J190" s="8" t="s">
        <v>58</v>
      </c>
      <c r="K190" s="24">
        <f>AE12</f>
        <v>706.85834705770344</v>
      </c>
      <c r="L190" s="24"/>
      <c r="M190" s="24"/>
      <c r="N190" t="s">
        <v>18</v>
      </c>
    </row>
    <row r="193" spans="4:26">
      <c r="D193" s="3" t="s">
        <v>125</v>
      </c>
    </row>
    <row r="195" spans="4:26">
      <c r="E195" t="s">
        <v>59</v>
      </c>
      <c r="F195" t="s">
        <v>126</v>
      </c>
      <c r="I195" t="s">
        <v>10</v>
      </c>
      <c r="J195" t="s">
        <v>127</v>
      </c>
    </row>
    <row r="196" spans="4:26">
      <c r="I196" t="s">
        <v>10</v>
      </c>
      <c r="J196" s="24">
        <f>K198*K200/K202*K204*K205*K207*K214</f>
        <v>140.9847176569148</v>
      </c>
      <c r="K196" s="24"/>
      <c r="L196" s="24"/>
      <c r="M196" t="s">
        <v>45</v>
      </c>
      <c r="O196" t="str">
        <f>IF(J196&gt;T196,"&gt;","&lt;")</f>
        <v>&gt;</v>
      </c>
      <c r="Q196" t="s">
        <v>48</v>
      </c>
      <c r="S196" s="1" t="s">
        <v>11</v>
      </c>
      <c r="T196" s="24">
        <f>$AE$63</f>
        <v>98.31004999999999</v>
      </c>
      <c r="U196" s="24"/>
      <c r="V196" s="24"/>
      <c r="W196" t="s">
        <v>45</v>
      </c>
      <c r="Y196" s="25" t="str">
        <f>IF(J196&gt;T196,"O.K !","N.G !")</f>
        <v>O.K !</v>
      </c>
      <c r="Z196" s="25"/>
    </row>
    <row r="197" spans="4:26">
      <c r="E197" t="s">
        <v>69</v>
      </c>
    </row>
    <row r="198" spans="4:26">
      <c r="F198" t="s">
        <v>59</v>
      </c>
      <c r="G198" s="28" t="s">
        <v>56</v>
      </c>
      <c r="H198" s="28"/>
      <c r="I198" s="28"/>
      <c r="J198" s="8" t="s">
        <v>55</v>
      </c>
      <c r="K198" s="24">
        <v>0.75</v>
      </c>
      <c r="L198" s="24"/>
      <c r="M198" s="24"/>
    </row>
    <row r="199" spans="4:26" ht="18">
      <c r="F199" t="s">
        <v>59</v>
      </c>
      <c r="G199" s="28" t="s">
        <v>128</v>
      </c>
      <c r="H199" s="28"/>
      <c r="I199" s="28"/>
      <c r="J199" s="10" t="s">
        <v>58</v>
      </c>
      <c r="K199" t="str">
        <f>IF(AE19&lt;AE18*1.5,"1.5*c1*(1.5*c1+c2)","1.5*c1*(3*c1)")</f>
        <v>1.5*c1*(3*c1)</v>
      </c>
    </row>
    <row r="200" spans="4:26">
      <c r="G200" s="14"/>
      <c r="H200" s="14"/>
      <c r="I200" s="14"/>
      <c r="J200" s="8" t="s">
        <v>58</v>
      </c>
      <c r="K200" s="24">
        <f>IF(AE19&lt;AE18*1.5,1.5*AE18*(1.5*AE18+AE19),1.5*AE18*(3*AE18))</f>
        <v>649800</v>
      </c>
      <c r="L200" s="24"/>
      <c r="M200" s="24"/>
      <c r="N200" t="s">
        <v>18</v>
      </c>
    </row>
    <row r="201" spans="4:26" ht="18">
      <c r="F201" t="s">
        <v>59</v>
      </c>
      <c r="G201" s="28" t="s">
        <v>129</v>
      </c>
      <c r="H201" s="28"/>
      <c r="I201" s="28"/>
      <c r="J201" s="10" t="s">
        <v>58</v>
      </c>
      <c r="K201" t="s">
        <v>137</v>
      </c>
    </row>
    <row r="202" spans="4:26">
      <c r="G202" s="10"/>
      <c r="H202" s="10"/>
      <c r="I202" s="10"/>
      <c r="J202" s="10" t="s">
        <v>58</v>
      </c>
      <c r="K202" s="24">
        <f>4.5*AE18^2</f>
        <v>649800</v>
      </c>
      <c r="L202" s="24"/>
      <c r="M202" s="24"/>
      <c r="N202" t="s">
        <v>18</v>
      </c>
    </row>
    <row r="203" spans="4:26" ht="18">
      <c r="F203" t="s">
        <v>59</v>
      </c>
      <c r="G203" s="28" t="s">
        <v>130</v>
      </c>
      <c r="H203" s="28"/>
      <c r="I203" s="28"/>
      <c r="J203" s="10" t="s">
        <v>58</v>
      </c>
      <c r="K203" t="s">
        <v>138</v>
      </c>
    </row>
    <row r="204" spans="4:26">
      <c r="G204" s="10"/>
      <c r="H204" s="10"/>
      <c r="I204" s="10"/>
      <c r="J204" s="8" t="s">
        <v>58</v>
      </c>
      <c r="K204" s="24">
        <f>IF(AE19&lt;1.5*AE18,0.7+0.3*(AE19/(1.5*AE18)),1)</f>
        <v>1</v>
      </c>
      <c r="L204" s="24"/>
      <c r="M204" s="24"/>
    </row>
    <row r="205" spans="4:26" ht="18">
      <c r="F205" t="s">
        <v>59</v>
      </c>
      <c r="G205" s="28" t="s">
        <v>131</v>
      </c>
      <c r="H205" s="28"/>
      <c r="I205" s="28"/>
      <c r="J205" s="8" t="s">
        <v>55</v>
      </c>
      <c r="K205" s="30">
        <v>1.4</v>
      </c>
      <c r="L205" s="30"/>
      <c r="M205" s="30"/>
      <c r="O205" t="s">
        <v>96</v>
      </c>
    </row>
    <row r="206" spans="4:26" ht="18">
      <c r="F206" t="s">
        <v>59</v>
      </c>
      <c r="G206" s="28" t="s">
        <v>132</v>
      </c>
      <c r="H206" s="28"/>
      <c r="I206" s="28"/>
      <c r="J206" s="8" t="s">
        <v>55</v>
      </c>
      <c r="K206" t="s">
        <v>139</v>
      </c>
    </row>
    <row r="207" spans="4:26">
      <c r="G207" s="10"/>
      <c r="H207" s="10"/>
      <c r="I207" s="10"/>
      <c r="J207" s="8" t="s">
        <v>55</v>
      </c>
      <c r="K207" s="24">
        <f>IF(K208&lt;1.5*AE18,SQRT(1.5*AE18/K208),1)</f>
        <v>1</v>
      </c>
      <c r="L207" s="24"/>
      <c r="M207" s="24"/>
    </row>
    <row r="208" spans="4:26" ht="18">
      <c r="F208" t="s">
        <v>59</v>
      </c>
      <c r="G208" s="28" t="s">
        <v>133</v>
      </c>
      <c r="H208" s="28"/>
      <c r="I208" s="28"/>
      <c r="J208" s="10" t="s">
        <v>58</v>
      </c>
      <c r="K208" s="24">
        <f>AE6</f>
        <v>1150</v>
      </c>
      <c r="L208" s="24"/>
      <c r="M208" s="24"/>
      <c r="N208" t="s">
        <v>1</v>
      </c>
    </row>
    <row r="209" spans="4:26" ht="18">
      <c r="F209" t="s">
        <v>59</v>
      </c>
      <c r="G209" s="28" t="s">
        <v>134</v>
      </c>
      <c r="H209" s="28"/>
      <c r="I209" s="28"/>
      <c r="J209" s="10" t="s">
        <v>58</v>
      </c>
      <c r="K209" t="s">
        <v>140</v>
      </c>
    </row>
    <row r="210" spans="4:26">
      <c r="G210" s="10"/>
      <c r="H210" s="10"/>
      <c r="I210" s="10"/>
      <c r="J210" s="10" t="s">
        <v>58</v>
      </c>
      <c r="K210" s="24">
        <f>(0.6*(AE16/AE10)^0.2*AE10^0.5*AE7^0.5*AE18^1.5)/1000</f>
        <v>224.86913584765767</v>
      </c>
      <c r="L210" s="24"/>
      <c r="M210" s="24"/>
      <c r="N210" t="s">
        <v>45</v>
      </c>
    </row>
    <row r="211" spans="4:26" ht="18">
      <c r="F211" t="s">
        <v>59</v>
      </c>
      <c r="G211" s="28" t="s">
        <v>135</v>
      </c>
      <c r="H211" s="28"/>
      <c r="I211" s="28"/>
      <c r="J211" s="10" t="s">
        <v>58</v>
      </c>
      <c r="K211" t="s">
        <v>141</v>
      </c>
    </row>
    <row r="212" spans="4:26">
      <c r="G212" s="10"/>
      <c r="H212" s="10"/>
      <c r="I212" s="10"/>
      <c r="J212" s="10"/>
      <c r="K212" s="24">
        <f>3.7*AE7^0.5*AE18^1.5/1000</f>
        <v>134.27115967325221</v>
      </c>
      <c r="L212" s="24"/>
      <c r="M212" s="24"/>
      <c r="N212" t="s">
        <v>45</v>
      </c>
    </row>
    <row r="213" spans="4:26" ht="18">
      <c r="F213" t="s">
        <v>59</v>
      </c>
      <c r="G213" s="28" t="s">
        <v>136</v>
      </c>
      <c r="H213" s="28"/>
      <c r="I213" s="28"/>
      <c r="J213" s="10" t="s">
        <v>58</v>
      </c>
      <c r="K213" t="s">
        <v>142</v>
      </c>
    </row>
    <row r="214" spans="4:26">
      <c r="G214" s="10"/>
      <c r="H214" s="10"/>
      <c r="I214" s="10"/>
      <c r="J214" s="10"/>
      <c r="K214" s="24">
        <f>MIN(K210,K212)</f>
        <v>134.27115967325221</v>
      </c>
      <c r="L214" s="24"/>
      <c r="M214" s="24"/>
      <c r="N214" t="s">
        <v>45</v>
      </c>
    </row>
    <row r="215" spans="4:26">
      <c r="F215" t="s">
        <v>59</v>
      </c>
      <c r="G215" s="28" t="s">
        <v>105</v>
      </c>
      <c r="H215" s="28"/>
      <c r="I215" s="28"/>
      <c r="J215" s="10" t="s">
        <v>58</v>
      </c>
      <c r="K215" s="24">
        <f>AE7</f>
        <v>24</v>
      </c>
      <c r="L215" s="24"/>
      <c r="M215" s="24"/>
      <c r="N215" t="s">
        <v>21</v>
      </c>
    </row>
    <row r="221" spans="4:26">
      <c r="D221" s="3" t="s">
        <v>147</v>
      </c>
    </row>
    <row r="223" spans="4:26">
      <c r="E223" t="s">
        <v>59</v>
      </c>
      <c r="F223" t="s">
        <v>143</v>
      </c>
      <c r="I223" t="s">
        <v>10</v>
      </c>
      <c r="J223" t="s">
        <v>144</v>
      </c>
    </row>
    <row r="224" spans="4:26">
      <c r="I224" t="s">
        <v>10</v>
      </c>
      <c r="J224" s="24">
        <f>K226*K227*K228</f>
        <v>47.942212696262843</v>
      </c>
      <c r="K224" s="24"/>
      <c r="L224" s="24"/>
      <c r="M224" t="s">
        <v>45</v>
      </c>
      <c r="O224" t="str">
        <f>IF(J224&gt;T224,"&gt;","&lt;")</f>
        <v>&lt;</v>
      </c>
      <c r="Q224" t="s">
        <v>48</v>
      </c>
      <c r="S224" s="1" t="s">
        <v>11</v>
      </c>
      <c r="T224" s="24">
        <f>$AE$63</f>
        <v>98.31004999999999</v>
      </c>
      <c r="U224" s="24"/>
      <c r="V224" s="24"/>
      <c r="W224" t="s">
        <v>45</v>
      </c>
      <c r="Y224" s="25" t="str">
        <f>IF(J224&gt;T224,"O.K !","N.G !")</f>
        <v>N.G !</v>
      </c>
      <c r="Z224" s="25"/>
    </row>
    <row r="225" spans="5:14">
      <c r="E225" t="s">
        <v>69</v>
      </c>
    </row>
    <row r="226" spans="5:14">
      <c r="F226" t="s">
        <v>59</v>
      </c>
      <c r="G226" s="28" t="s">
        <v>56</v>
      </c>
      <c r="H226" s="28"/>
      <c r="I226" s="28"/>
      <c r="J226" s="8" t="s">
        <v>55</v>
      </c>
      <c r="K226" s="24">
        <v>0.75</v>
      </c>
      <c r="L226" s="24"/>
      <c r="M226" s="24"/>
    </row>
    <row r="227" spans="5:14" ht="18">
      <c r="F227" t="s">
        <v>59</v>
      </c>
      <c r="G227" s="28" t="s">
        <v>145</v>
      </c>
      <c r="H227" s="28"/>
      <c r="I227" s="28"/>
      <c r="J227" s="10" t="s">
        <v>58</v>
      </c>
      <c r="K227" s="24">
        <f>IF(AE16&gt;65,2,1)</f>
        <v>2</v>
      </c>
      <c r="L227" s="24"/>
      <c r="M227" s="24"/>
    </row>
    <row r="228" spans="5:14" ht="18">
      <c r="F228" t="s">
        <v>59</v>
      </c>
      <c r="G228" s="28" t="s">
        <v>146</v>
      </c>
      <c r="H228" s="28"/>
      <c r="I228" s="28"/>
      <c r="J228" s="12" t="s">
        <v>58</v>
      </c>
      <c r="K228" s="24">
        <f>J107/K109</f>
        <v>31.961475130841894</v>
      </c>
      <c r="L228" s="24"/>
      <c r="M228" s="24"/>
      <c r="N228" t="s">
        <v>45</v>
      </c>
    </row>
    <row r="263" spans="3:34">
      <c r="C263" s="3" t="s">
        <v>182</v>
      </c>
    </row>
    <row r="265" spans="3:34">
      <c r="E265" t="s">
        <v>69</v>
      </c>
    </row>
    <row r="266" spans="3:34" ht="18">
      <c r="G266" s="29" t="s">
        <v>152</v>
      </c>
      <c r="H266" s="29"/>
      <c r="I266" s="29"/>
      <c r="J266" s="12" t="s">
        <v>58</v>
      </c>
      <c r="K266" s="15" t="s">
        <v>160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 t="s">
        <v>58</v>
      </c>
      <c r="W266" s="14"/>
      <c r="X266" s="24">
        <f>MIN(IF(J185&lt;&gt;0,J185,999999),IF(J196&lt;&gt;0,J187,999999),IF(J224&lt;&gt;0,J224,999999))</f>
        <v>47.942212696262843</v>
      </c>
      <c r="Y266" s="24"/>
      <c r="Z266" s="24"/>
      <c r="AA266" t="s">
        <v>45</v>
      </c>
    </row>
    <row r="267" spans="3:34" ht="18">
      <c r="G267" s="29" t="s">
        <v>149</v>
      </c>
      <c r="H267" s="29"/>
      <c r="I267" s="29"/>
      <c r="J267" s="12" t="s">
        <v>58</v>
      </c>
      <c r="K267" s="15" t="s">
        <v>161</v>
      </c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 t="s">
        <v>58</v>
      </c>
      <c r="W267" s="14"/>
      <c r="X267" s="24">
        <f>MIN(IF(J97&lt;&gt;0,J97,999999),IF(J107&lt;&gt;0,J107,999999),IF(J140&lt;&gt;0,J140,999999),IF(J155&lt;&gt;0,J155,999999),IF(J166&lt;&gt;0,J166,999999))</f>
        <v>23.971106348131421</v>
      </c>
      <c r="Y267" s="24"/>
      <c r="Z267" s="24"/>
      <c r="AA267" t="s">
        <v>45</v>
      </c>
    </row>
    <row r="269" spans="3:34">
      <c r="E269" t="s">
        <v>59</v>
      </c>
      <c r="F269" t="s">
        <v>153</v>
      </c>
      <c r="J269" s="3" t="str">
        <f>IF(Q271="&lt;", "Applicable Case","Not Applicable Case")</f>
        <v>Not Applicable Case</v>
      </c>
    </row>
    <row r="270" spans="3:34">
      <c r="F270" t="s">
        <v>154</v>
      </c>
      <c r="I270" t="s">
        <v>155</v>
      </c>
      <c r="J270" t="s">
        <v>164</v>
      </c>
      <c r="M270" t="s">
        <v>157</v>
      </c>
      <c r="AB270" s="4"/>
      <c r="AC270"/>
      <c r="AD270" s="5"/>
      <c r="AE270" t="s">
        <v>158</v>
      </c>
      <c r="AG270" t="s">
        <v>159</v>
      </c>
      <c r="AH270" t="s">
        <v>42</v>
      </c>
    </row>
    <row r="271" spans="3:34">
      <c r="G271" s="26" t="s">
        <v>151</v>
      </c>
      <c r="H271" s="26"/>
      <c r="I271" s="26"/>
      <c r="J271" s="11" t="s">
        <v>58</v>
      </c>
      <c r="K271" s="24">
        <f>$AE$63</f>
        <v>98.31004999999999</v>
      </c>
      <c r="L271" s="24"/>
      <c r="M271" s="24"/>
      <c r="N271" t="s">
        <v>45</v>
      </c>
      <c r="Q271" t="str">
        <f>IF(K271&gt;=W271,"≥","&lt;")</f>
        <v>≥</v>
      </c>
      <c r="S271" s="26" t="s">
        <v>165</v>
      </c>
      <c r="T271" s="26"/>
      <c r="U271" s="26"/>
      <c r="V271" s="11" t="s">
        <v>58</v>
      </c>
      <c r="W271" s="24">
        <f>0.2*X266</f>
        <v>9.5884425392525685</v>
      </c>
      <c r="X271" s="24"/>
      <c r="Y271" s="24"/>
      <c r="Z271" t="s">
        <v>45</v>
      </c>
    </row>
    <row r="272" spans="3:34">
      <c r="G272" s="26" t="s">
        <v>150</v>
      </c>
      <c r="H272" s="26"/>
      <c r="I272" s="26"/>
      <c r="J272" s="11" t="s">
        <v>58</v>
      </c>
      <c r="K272" s="24">
        <f>$AE$60</f>
        <v>72.331999999999994</v>
      </c>
      <c r="L272" s="24"/>
      <c r="M272" s="24"/>
      <c r="N272" t="s">
        <v>45</v>
      </c>
      <c r="Q272" t="str">
        <f>IF(K272&gt;=W272,"≥","&lt;")</f>
        <v>≥</v>
      </c>
      <c r="S272" s="26" t="s">
        <v>149</v>
      </c>
      <c r="T272" s="26"/>
      <c r="U272" s="26"/>
      <c r="W272" s="24">
        <f>0.2*X267</f>
        <v>4.7942212696262843</v>
      </c>
      <c r="X272" s="24"/>
      <c r="Y272" s="24"/>
      <c r="Z272" t="s">
        <v>45</v>
      </c>
      <c r="AC272" s="25" t="str">
        <f>IF(K272&lt;=W272,"O.K !","N.G !")</f>
        <v>N.G !</v>
      </c>
      <c r="AD272" s="25"/>
    </row>
    <row r="274" spans="5:34">
      <c r="E274" t="s">
        <v>59</v>
      </c>
      <c r="F274" t="s">
        <v>166</v>
      </c>
      <c r="J274" s="3" t="str">
        <f>IF(Q276="&lt;", "Applicable Case","Not Applicable Case")</f>
        <v>Not Applicable Case</v>
      </c>
    </row>
    <row r="275" spans="5:34">
      <c r="F275" t="s">
        <v>167</v>
      </c>
      <c r="I275" t="s">
        <v>155</v>
      </c>
      <c r="J275" t="s">
        <v>168</v>
      </c>
      <c r="M275" t="s">
        <v>157</v>
      </c>
      <c r="AB275" s="4"/>
      <c r="AC275"/>
      <c r="AD275" s="5"/>
      <c r="AE275" s="14" t="s">
        <v>169</v>
      </c>
      <c r="AG275" t="s">
        <v>159</v>
      </c>
      <c r="AH275" t="s">
        <v>48</v>
      </c>
    </row>
    <row r="276" spans="5:34">
      <c r="G276" s="26" t="s">
        <v>150</v>
      </c>
      <c r="H276" s="26"/>
      <c r="I276" s="26"/>
      <c r="J276" s="11" t="s">
        <v>58</v>
      </c>
      <c r="K276" s="24">
        <f>$AE$60</f>
        <v>72.331999999999994</v>
      </c>
      <c r="L276" s="24"/>
      <c r="M276" s="24"/>
      <c r="N276" t="s">
        <v>45</v>
      </c>
      <c r="Q276" t="str">
        <f>IF(K276&gt;=W276,"≥","&lt;")</f>
        <v>≥</v>
      </c>
      <c r="S276" s="26" t="s">
        <v>170</v>
      </c>
      <c r="T276" s="26"/>
      <c r="U276" s="26"/>
      <c r="W276" s="24">
        <f>0.2*X267</f>
        <v>4.7942212696262843</v>
      </c>
      <c r="X276" s="24"/>
      <c r="Y276" s="24"/>
      <c r="Z276" t="s">
        <v>45</v>
      </c>
      <c r="AB276" s="4"/>
      <c r="AC276"/>
      <c r="AD276" s="5"/>
      <c r="AE276" s="14"/>
    </row>
    <row r="277" spans="5:34">
      <c r="G277" s="26" t="s">
        <v>151</v>
      </c>
      <c r="H277" s="26"/>
      <c r="I277" s="26"/>
      <c r="J277" s="11" t="s">
        <v>58</v>
      </c>
      <c r="K277" s="24">
        <f>$AE$63</f>
        <v>98.31004999999999</v>
      </c>
      <c r="L277" s="24"/>
      <c r="M277" s="24"/>
      <c r="N277" t="s">
        <v>45</v>
      </c>
      <c r="Q277" t="str">
        <f>IF(K277&gt;=W277,"≥","&lt;")</f>
        <v>≥</v>
      </c>
      <c r="S277" s="26" t="s">
        <v>171</v>
      </c>
      <c r="T277" s="26"/>
      <c r="U277" s="26"/>
      <c r="V277" s="11" t="s">
        <v>58</v>
      </c>
      <c r="W277" s="24">
        <f>X266</f>
        <v>47.942212696262843</v>
      </c>
      <c r="X277" s="24"/>
      <c r="Y277" s="24"/>
      <c r="Z277" t="s">
        <v>45</v>
      </c>
      <c r="AC277" s="25" t="str">
        <f>IF(K277&lt;=W277,"O.K !","N.G !")</f>
        <v>N.G !</v>
      </c>
      <c r="AD277" s="25"/>
    </row>
    <row r="279" spans="5:34">
      <c r="E279" t="s">
        <v>59</v>
      </c>
      <c r="F279" t="s">
        <v>172</v>
      </c>
      <c r="J279" s="3" t="str">
        <f>IF(AND(Q281="&gt;",Q282="&gt;"), "Applicable Case","Not Applicable Case")</f>
        <v>Applicable Case</v>
      </c>
    </row>
    <row r="280" spans="5:34">
      <c r="F280" t="s">
        <v>154</v>
      </c>
      <c r="I280" t="s">
        <v>173</v>
      </c>
      <c r="J280" t="s">
        <v>156</v>
      </c>
      <c r="M280" t="s">
        <v>174</v>
      </c>
      <c r="O280" t="s">
        <v>42</v>
      </c>
      <c r="Q280" t="s">
        <v>173</v>
      </c>
      <c r="R280" t="s">
        <v>175</v>
      </c>
      <c r="U280" t="s">
        <v>176</v>
      </c>
      <c r="X280" s="14" t="s">
        <v>178</v>
      </c>
      <c r="AB280" s="4"/>
      <c r="AC280"/>
      <c r="AD280" s="5"/>
    </row>
    <row r="281" spans="5:34">
      <c r="G281" s="26" t="s">
        <v>151</v>
      </c>
      <c r="H281" s="26"/>
      <c r="I281" s="26"/>
      <c r="J281" s="11" t="s">
        <v>58</v>
      </c>
      <c r="K281" s="24">
        <f>$AE$63</f>
        <v>98.31004999999999</v>
      </c>
      <c r="L281" s="24"/>
      <c r="M281" s="24"/>
      <c r="N281" t="s">
        <v>45</v>
      </c>
      <c r="Q281" t="str">
        <f>IF(K281&gt;=W281,"&gt;","≤")</f>
        <v>&gt;</v>
      </c>
      <c r="S281" s="26" t="s">
        <v>165</v>
      </c>
      <c r="T281" s="26"/>
      <c r="U281" s="26"/>
      <c r="V281" s="11" t="s">
        <v>58</v>
      </c>
      <c r="W281" s="24">
        <f>0.2*X266</f>
        <v>9.5884425392525685</v>
      </c>
      <c r="X281" s="24"/>
      <c r="Y281" s="24"/>
      <c r="Z281" t="s">
        <v>45</v>
      </c>
    </row>
    <row r="282" spans="5:34">
      <c r="G282" s="26" t="s">
        <v>150</v>
      </c>
      <c r="H282" s="26"/>
      <c r="I282" s="26"/>
      <c r="J282" s="11" t="s">
        <v>58</v>
      </c>
      <c r="K282" s="24">
        <f>$AE$60</f>
        <v>72.331999999999994</v>
      </c>
      <c r="L282" s="24"/>
      <c r="M282" s="24"/>
      <c r="N282" t="s">
        <v>45</v>
      </c>
      <c r="Q282" t="str">
        <f>IF(K282&gt;=W282,"&gt;","≤")</f>
        <v>&gt;</v>
      </c>
      <c r="S282" s="26" t="s">
        <v>170</v>
      </c>
      <c r="T282" s="26"/>
      <c r="U282" s="26"/>
      <c r="W282" s="24">
        <f>0.2*X267</f>
        <v>4.7942212696262843</v>
      </c>
      <c r="X282" s="24"/>
      <c r="Y282" s="24"/>
      <c r="Z282" t="s">
        <v>45</v>
      </c>
    </row>
    <row r="283" spans="5:34">
      <c r="G283" s="16"/>
      <c r="H283" s="16"/>
      <c r="I283" s="16"/>
      <c r="J283" s="11"/>
      <c r="K283" s="26" t="s">
        <v>150</v>
      </c>
      <c r="L283" s="26"/>
      <c r="M283" s="26"/>
      <c r="N283" s="18" t="s">
        <v>177</v>
      </c>
      <c r="O283" s="26" t="s">
        <v>149</v>
      </c>
      <c r="P283" s="26"/>
      <c r="Q283" s="26"/>
      <c r="R283" s="18" t="s">
        <v>179</v>
      </c>
      <c r="S283" s="26" t="s">
        <v>151</v>
      </c>
      <c r="T283" s="26"/>
      <c r="U283" s="26"/>
      <c r="V283" s="18" t="s">
        <v>177</v>
      </c>
      <c r="W283" s="26" t="s">
        <v>152</v>
      </c>
      <c r="X283" s="26"/>
      <c r="Y283" s="26"/>
    </row>
    <row r="284" spans="5:34">
      <c r="G284" s="16"/>
      <c r="H284" s="16"/>
      <c r="I284" s="16"/>
      <c r="J284" s="1" t="s">
        <v>11</v>
      </c>
      <c r="K284" s="24">
        <f>$AE$60</f>
        <v>72.331999999999994</v>
      </c>
      <c r="L284" s="24"/>
      <c r="M284" s="24"/>
      <c r="N284" s="18" t="s">
        <v>177</v>
      </c>
      <c r="O284" s="27">
        <f>X267</f>
        <v>23.971106348131421</v>
      </c>
      <c r="P284" s="27"/>
      <c r="Q284" s="27"/>
      <c r="R284" s="18" t="s">
        <v>179</v>
      </c>
      <c r="S284" s="24">
        <f>$AE$63</f>
        <v>98.31004999999999</v>
      </c>
      <c r="T284" s="24"/>
      <c r="U284" s="24"/>
      <c r="V284" s="18" t="s">
        <v>177</v>
      </c>
      <c r="W284" s="27">
        <f>X266</f>
        <v>47.942212696262843</v>
      </c>
      <c r="X284" s="27"/>
      <c r="Y284" s="27"/>
      <c r="Z284" s="5"/>
      <c r="AA284" s="5"/>
      <c r="AB284" s="5"/>
      <c r="AC284" s="5"/>
      <c r="AD284" s="5"/>
    </row>
    <row r="285" spans="5:34">
      <c r="J285" s="1" t="s">
        <v>11</v>
      </c>
      <c r="K285" s="24">
        <f>K284/O284+S284/W284</f>
        <v>5.0680608243795167</v>
      </c>
      <c r="L285" s="24"/>
      <c r="M285" s="24"/>
      <c r="Q285" t="str">
        <f>IF(K285&gt;=U285,"&gt;","≤")</f>
        <v>&gt;</v>
      </c>
      <c r="U285" s="24">
        <v>1.2</v>
      </c>
      <c r="V285" s="24"/>
      <c r="W285" s="24"/>
      <c r="AC285" s="25" t="str">
        <f>IF(K285&lt;=U285,"O.K !","N.G !")</f>
        <v>N.G !</v>
      </c>
      <c r="AD285" s="25"/>
    </row>
  </sheetData>
  <mergeCells count="200">
    <mergeCell ref="AE11:AG11"/>
    <mergeCell ref="AE12:AG12"/>
    <mergeCell ref="AE13:AG13"/>
    <mergeCell ref="AE14:AG14"/>
    <mergeCell ref="AE15:AG15"/>
    <mergeCell ref="AE16:AG16"/>
    <mergeCell ref="AE4:AG4"/>
    <mergeCell ref="AE5:AG5"/>
    <mergeCell ref="AE6:AG6"/>
    <mergeCell ref="AE7:AG7"/>
    <mergeCell ref="AE10:AG10"/>
    <mergeCell ref="AE9:AJ9"/>
    <mergeCell ref="J65:L65"/>
    <mergeCell ref="AE69:AG69"/>
    <mergeCell ref="I71:K71"/>
    <mergeCell ref="N71:P71"/>
    <mergeCell ref="T71:V71"/>
    <mergeCell ref="J68:L68"/>
    <mergeCell ref="J67:L67"/>
    <mergeCell ref="AE18:AG18"/>
    <mergeCell ref="AE19:AG19"/>
    <mergeCell ref="AE20:AG20"/>
    <mergeCell ref="AE21:AG21"/>
    <mergeCell ref="AE60:AG60"/>
    <mergeCell ref="AE63:AG63"/>
    <mergeCell ref="AE62:AG62"/>
    <mergeCell ref="G101:I101"/>
    <mergeCell ref="K101:M101"/>
    <mergeCell ref="G102:I102"/>
    <mergeCell ref="K102:M102"/>
    <mergeCell ref="J107:L107"/>
    <mergeCell ref="T107:V107"/>
    <mergeCell ref="J97:L97"/>
    <mergeCell ref="T97:V97"/>
    <mergeCell ref="Y97:Z97"/>
    <mergeCell ref="G99:I99"/>
    <mergeCell ref="K99:M99"/>
    <mergeCell ref="G100:I100"/>
    <mergeCell ref="K100:M100"/>
    <mergeCell ref="K113:M113"/>
    <mergeCell ref="G117:I117"/>
    <mergeCell ref="K118:M118"/>
    <mergeCell ref="G119:I119"/>
    <mergeCell ref="K119:M119"/>
    <mergeCell ref="G120:I120"/>
    <mergeCell ref="K120:M120"/>
    <mergeCell ref="Y107:Z107"/>
    <mergeCell ref="G109:I109"/>
    <mergeCell ref="K109:M109"/>
    <mergeCell ref="G110:I110"/>
    <mergeCell ref="K111:M111"/>
    <mergeCell ref="G112:I112"/>
    <mergeCell ref="G114:I114"/>
    <mergeCell ref="G116:I116"/>
    <mergeCell ref="K116:M116"/>
    <mergeCell ref="K115:M115"/>
    <mergeCell ref="K124:M124"/>
    <mergeCell ref="J140:L140"/>
    <mergeCell ref="T140:V140"/>
    <mergeCell ref="Y140:Z140"/>
    <mergeCell ref="G142:I142"/>
    <mergeCell ref="K142:M142"/>
    <mergeCell ref="G121:I121"/>
    <mergeCell ref="T121:U121"/>
    <mergeCell ref="W121:Y121"/>
    <mergeCell ref="G122:I122"/>
    <mergeCell ref="K122:M122"/>
    <mergeCell ref="G123:I123"/>
    <mergeCell ref="F152:H152"/>
    <mergeCell ref="J152:M152"/>
    <mergeCell ref="Q152:R152"/>
    <mergeCell ref="T152:V152"/>
    <mergeCell ref="X152:AA152"/>
    <mergeCell ref="J155:L155"/>
    <mergeCell ref="T155:V155"/>
    <mergeCell ref="Y155:Z155"/>
    <mergeCell ref="G143:I143"/>
    <mergeCell ref="K143:M143"/>
    <mergeCell ref="G144:I144"/>
    <mergeCell ref="K145:M145"/>
    <mergeCell ref="G146:I146"/>
    <mergeCell ref="K146:M146"/>
    <mergeCell ref="G160:I160"/>
    <mergeCell ref="K160:M160"/>
    <mergeCell ref="J166:L166"/>
    <mergeCell ref="T166:V166"/>
    <mergeCell ref="Y166:Z166"/>
    <mergeCell ref="G168:I168"/>
    <mergeCell ref="G157:I157"/>
    <mergeCell ref="K157:M157"/>
    <mergeCell ref="G158:I158"/>
    <mergeCell ref="K158:M158"/>
    <mergeCell ref="G159:I159"/>
    <mergeCell ref="K159:M159"/>
    <mergeCell ref="G175:I175"/>
    <mergeCell ref="G176:I176"/>
    <mergeCell ref="J185:L185"/>
    <mergeCell ref="T185:V185"/>
    <mergeCell ref="Y185:Z185"/>
    <mergeCell ref="G187:I187"/>
    <mergeCell ref="K187:M187"/>
    <mergeCell ref="G169:I169"/>
    <mergeCell ref="G170:I170"/>
    <mergeCell ref="G171:I171"/>
    <mergeCell ref="G172:I172"/>
    <mergeCell ref="G173:I173"/>
    <mergeCell ref="G174:I174"/>
    <mergeCell ref="J196:L196"/>
    <mergeCell ref="T196:V196"/>
    <mergeCell ref="Y196:Z196"/>
    <mergeCell ref="G198:I198"/>
    <mergeCell ref="K198:M198"/>
    <mergeCell ref="G199:I199"/>
    <mergeCell ref="G188:I188"/>
    <mergeCell ref="K188:M188"/>
    <mergeCell ref="G189:I189"/>
    <mergeCell ref="K189:M189"/>
    <mergeCell ref="G190:I190"/>
    <mergeCell ref="K190:M190"/>
    <mergeCell ref="G206:I206"/>
    <mergeCell ref="K207:M207"/>
    <mergeCell ref="G208:I208"/>
    <mergeCell ref="K208:M208"/>
    <mergeCell ref="G209:I209"/>
    <mergeCell ref="K210:M210"/>
    <mergeCell ref="K200:M200"/>
    <mergeCell ref="G201:I201"/>
    <mergeCell ref="K202:M202"/>
    <mergeCell ref="G203:I203"/>
    <mergeCell ref="K204:M204"/>
    <mergeCell ref="G205:I205"/>
    <mergeCell ref="K205:M205"/>
    <mergeCell ref="J224:L224"/>
    <mergeCell ref="T224:V224"/>
    <mergeCell ref="Y224:Z224"/>
    <mergeCell ref="G226:I226"/>
    <mergeCell ref="K226:M226"/>
    <mergeCell ref="G227:I227"/>
    <mergeCell ref="K227:M227"/>
    <mergeCell ref="G211:I211"/>
    <mergeCell ref="K212:M212"/>
    <mergeCell ref="G213:I213"/>
    <mergeCell ref="K214:M214"/>
    <mergeCell ref="G215:I215"/>
    <mergeCell ref="K215:M215"/>
    <mergeCell ref="G271:I271"/>
    <mergeCell ref="K271:M271"/>
    <mergeCell ref="S271:U271"/>
    <mergeCell ref="W271:Y271"/>
    <mergeCell ref="G272:I272"/>
    <mergeCell ref="K272:M272"/>
    <mergeCell ref="S272:U272"/>
    <mergeCell ref="W272:Y272"/>
    <mergeCell ref="G228:I228"/>
    <mergeCell ref="K228:M228"/>
    <mergeCell ref="G266:I266"/>
    <mergeCell ref="X266:Z266"/>
    <mergeCell ref="G267:I267"/>
    <mergeCell ref="X267:Z267"/>
    <mergeCell ref="G281:I281"/>
    <mergeCell ref="K281:M281"/>
    <mergeCell ref="S281:U281"/>
    <mergeCell ref="W281:Y281"/>
    <mergeCell ref="G282:I282"/>
    <mergeCell ref="K282:M282"/>
    <mergeCell ref="S282:U282"/>
    <mergeCell ref="W282:Y282"/>
    <mergeCell ref="AC272:AD272"/>
    <mergeCell ref="G276:I276"/>
    <mergeCell ref="K276:M276"/>
    <mergeCell ref="S276:U276"/>
    <mergeCell ref="W276:Y276"/>
    <mergeCell ref="G277:I277"/>
    <mergeCell ref="K277:M277"/>
    <mergeCell ref="S277:U277"/>
    <mergeCell ref="W277:Y277"/>
    <mergeCell ref="AC277:AD277"/>
    <mergeCell ref="K285:M285"/>
    <mergeCell ref="U285:W285"/>
    <mergeCell ref="AC285:AD285"/>
    <mergeCell ref="K283:M283"/>
    <mergeCell ref="O283:Q283"/>
    <mergeCell ref="S283:U283"/>
    <mergeCell ref="W283:Y283"/>
    <mergeCell ref="K284:M284"/>
    <mergeCell ref="O284:Q284"/>
    <mergeCell ref="S284:U284"/>
    <mergeCell ref="W284:Y284"/>
    <mergeCell ref="R82:T82"/>
    <mergeCell ref="R84:T84"/>
    <mergeCell ref="V80:X80"/>
    <mergeCell ref="V82:X82"/>
    <mergeCell ref="V84:X84"/>
    <mergeCell ref="J78:L78"/>
    <mergeCell ref="J80:L80"/>
    <mergeCell ref="J82:L82"/>
    <mergeCell ref="J84:L84"/>
    <mergeCell ref="R78:T78"/>
    <mergeCell ref="V78:X78"/>
    <mergeCell ref="R80:T80"/>
  </mergeCells>
  <phoneticPr fontId="1" type="noConversion"/>
  <dataValidations count="1">
    <dataValidation type="list" allowBlank="1" showInputMessage="1" showErrorMessage="1" sqref="AE9" xr:uid="{E222CBC1-D265-47B9-8D1D-2A49BB268FF5}">
      <formula1>$AN$9:$AN$14</formula1>
    </dataValidation>
  </dataValidations>
  <pageMargins left="0.7" right="0.7" top="0.75" bottom="0.75" header="0.3" footer="0.3"/>
  <pageSetup paperSize="9" scale="94" orientation="portrait" verticalDpi="0" r:id="rId1"/>
  <rowBreaks count="5" manualBreakCount="5">
    <brk id="89" min="1" max="35" man="1"/>
    <brk id="132" min="1" max="35" man="1"/>
    <brk id="177" min="1" max="35" man="1"/>
    <brk id="219" min="1" max="35" man="1"/>
    <brk id="260" min="1" max="35" man="1"/>
  </row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E157F54765F4B4C9FFE168B0F31FB65" ma:contentTypeVersion="16" ma:contentTypeDescription="새 문서를 만듭니다." ma:contentTypeScope="" ma:versionID="3a17fd440dbd9965359972a62880a333">
  <xsd:schema xmlns:xsd="http://www.w3.org/2001/XMLSchema" xmlns:xs="http://www.w3.org/2001/XMLSchema" xmlns:p="http://schemas.microsoft.com/office/2006/metadata/properties" xmlns:ns2="e9803607-eabc-4b6f-85ad-ce7b9e6fbdf4" xmlns:ns3="250bfca7-d3db-44be-b32b-e01086abc00a" targetNamespace="http://schemas.microsoft.com/office/2006/metadata/properties" ma:root="true" ma:fieldsID="7d9f377e6df907579d8ec76918ad3c1e" ns2:_="" ns3:_="">
    <xsd:import namespace="e9803607-eabc-4b6f-85ad-ce7b9e6fbdf4"/>
    <xsd:import namespace="250bfca7-d3db-44be-b32b-e01086abc0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803607-eabc-4b6f-85ad-ce7b9e6fbd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d7d4fb0a-dc12-4dda-b0a9-dce29b5965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0bfca7-d3db-44be-b32b-e01086abc00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c5da77d-29fa-4e04-b404-ce0067924711}" ma:internalName="TaxCatchAll" ma:showField="CatchAllData" ma:web="250bfca7-d3db-44be-b32b-e01086abc0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0bfca7-d3db-44be-b32b-e01086abc00a" xsi:nil="true"/>
    <lcf76f155ced4ddcb4097134ff3c332f xmlns="e9803607-eabc-4b6f-85ad-ce7b9e6fbd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B8CE4B-175A-40E8-9890-FDCAC3160F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4BA0E9-E536-4724-A106-6AA5A202D9B1}"/>
</file>

<file path=customXml/itemProps3.xml><?xml version="1.0" encoding="utf-8"?>
<ds:datastoreItem xmlns:ds="http://schemas.openxmlformats.org/officeDocument/2006/customXml" ds:itemID="{82A840AA-2B55-4B5E-BA52-7CE3A09142DD}">
  <ds:schemaRefs>
    <ds:schemaRef ds:uri="http://schemas.microsoft.com/office/2006/metadata/properties"/>
    <ds:schemaRef ds:uri="http://schemas.microsoft.com/office/infopath/2007/PartnerControls"/>
    <ds:schemaRef ds:uri="250bfca7-d3db-44be-b32b-e01086abc00a"/>
    <ds:schemaRef ds:uri="e9803607-eabc-4b6f-85ad-ce7b9e6fbdf4"/>
  </ds:schemaRefs>
</ds:datastoreItem>
</file>

<file path=docMetadata/LabelInfo.xml><?xml version="1.0" encoding="utf-8"?>
<clbl:labelList xmlns:clbl="http://schemas.microsoft.com/office/2020/mipLabelMetadata">
  <clbl:label id="{0a835b3d-ddbf-4af7-b2df-4f7a35c0b91b}" enabled="0" method="" siteId="{0a835b3d-ddbf-4af7-b2df-4f7a35c0b9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Rectangular_Single</vt:lpstr>
      <vt:lpstr>Rectangular_Group</vt:lpstr>
      <vt:lpstr>Rectangular_Group!Print_Area</vt:lpstr>
      <vt:lpstr>Rectangular_Single!Print_Area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정건(Jung, Gun/지반구조설계팀)</dc:creator>
  <cp:lastModifiedBy>홍영길(YEONGGIL, HONG)</cp:lastModifiedBy>
  <dcterms:created xsi:type="dcterms:W3CDTF">2025-06-12T05:13:26Z</dcterms:created>
  <dcterms:modified xsi:type="dcterms:W3CDTF">2026-04-15T05:33:57Z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0x0101009E157F54765F4B4C9FFE168B0F31FB65</vt:lpwstr>
  </property>
  <property fmtid="{D5CDD505-2E9C-101B-9397-08002B2CF9AE}" pid="3" name="MediaServiceImageTags">
    <vt:lpwstr/>
  </property>
</Properties>
</file>